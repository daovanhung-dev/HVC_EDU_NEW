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Form đánh giá " sheetId="1" r:id="rId4"/>
    <sheet state="visible" name="Form đánh giá" sheetId="2" r:id="rId5"/>
  </sheets>
  <definedNames/>
  <calcPr/>
  <extLst>
    <ext uri="GoogleSheetsCustomDataVersion2">
      <go:sheetsCustomData xmlns:go="http://customooxmlschemas.google.com/" r:id="rId6" roundtripDataChecksum="ZL1uWPsSEvGrBzWOS/f9QkjWeVv9KsGSq5bt/ynWI/4="/>
    </ext>
  </extLst>
</workbook>
</file>

<file path=xl/sharedStrings.xml><?xml version="1.0" encoding="utf-8"?>
<sst xmlns="http://schemas.openxmlformats.org/spreadsheetml/2006/main" count="175" uniqueCount="45">
  <si>
    <t>FORM ĐÁNH GIÁ LỚP HỌC</t>
  </si>
  <si>
    <t>Lớp:</t>
  </si>
  <si>
    <t>Ngày: 3/9/2026</t>
  </si>
  <si>
    <t>Giáo viên:</t>
  </si>
  <si>
    <t>Bài học:</t>
  </si>
  <si>
    <t>Sĩ số:</t>
  </si>
  <si>
    <t>Có mặt:</t>
  </si>
  <si>
    <t>Vắng:</t>
  </si>
  <si>
    <t>Thầy dạy thay</t>
  </si>
  <si>
    <t>STT</t>
  </si>
  <si>
    <t>Họ và tên học sinh</t>
  </si>
  <si>
    <t>Điểm danh</t>
  </si>
  <si>
    <t>Số lần nhận đánh giá tốt</t>
  </si>
  <si>
    <t>Nguyễn Mạnh Cường</t>
  </si>
  <si>
    <t>Điểm BTVN</t>
  </si>
  <si>
    <t>Mức độ hiểu bài (1-5)</t>
  </si>
  <si>
    <t>Nhận xét (Ưu điểm -&gt; Nhược điểm -&gt; Giải pháp)</t>
  </si>
  <si>
    <t>Thái độ học tập (1-5)</t>
  </si>
  <si>
    <t>Có mặt</t>
  </si>
  <si>
    <t>Trợ Giảng</t>
  </si>
  <si>
    <t>Hà Anh</t>
  </si>
  <si>
    <t>Ngày: 7/9/2026</t>
  </si>
  <si>
    <t>Phương Anh</t>
  </si>
  <si>
    <t>Ngày: 10/9/2026</t>
  </si>
  <si>
    <t>Tiền</t>
  </si>
  <si>
    <t>Ngày: 14/9/2026</t>
  </si>
  <si>
    <t>Vắng Có phép</t>
  </si>
  <si>
    <t>BUỔI 23: CUNG VÀ DÂY CỦA 1 ĐƯỜNG TRÒN.</t>
  </si>
  <si>
    <r>
      <rPr>
        <rFont val="Carlito"/>
        <b/>
        <color theme="1"/>
        <sz val="11.0"/>
      </rPr>
      <t xml:space="preserve">Bài học: </t>
    </r>
    <r>
      <rPr>
        <rFont val="Carlito"/>
        <b val="0"/>
        <color theme="1"/>
        <sz val="11.0"/>
      </rPr>
      <t>Cung và dây của 1 đường tròn.</t>
    </r>
  </si>
  <si>
    <t>BUỔI 22: GIẢI PHƯƠNG TRÌNH</t>
  </si>
  <si>
    <t>An có năng lực học tập tốt, tiếp thu bài nhanh. Tuy nhiên, em cần đi học đúng giờ cũng như cải thiện thái độ, cách ứng xử với gv trong quá trình học. Cần điều chỉnh thái độ, tôn trọng gv và chủ động hợp tác để phát huy tốt năng lực của mình</t>
  </si>
  <si>
    <t>BUỔI 24: CUNG VÀ DÂY CỦA 1 ĐƯỜNG TRÒN (TIẾP)</t>
  </si>
  <si>
    <t>Quỳnh có thái độ học tập tốt, ngoan và nghiêm túc trong quá trình học. Em có ý thức làm bài tập về nhà đầy đủ, hoàn thành bài khá tốt và có tinh thần hợp tác trong giờ học. Nhìn chung, em có ý thức học tập tốt và cần tiếp tục duy trì tinh thần này.</t>
  </si>
  <si>
    <t>Bạn Đức có tinh thần học bài và làm bài tốt, khả năng tiếp thu kiến thức cũng khá ổn. Tuy nhiên, bạn còn đi học muộn, gây mất trật tự và sử dụng lời nói chưa phù hợp trong giờ học. Bạn cần nghiêm túc hơn, giữ trật tự và chú ý đến cách giao tiếp để tạo môi trường học tập tốt cho bản thân và các bạn.</t>
  </si>
  <si>
    <t>Bài Test đầu giờ</t>
  </si>
  <si>
    <t>Nhận xét (Ưu điểm -&gt; Nhược điểm (Lỗ hỏng phần chưa hiểu) -&gt; Giải pháp)</t>
  </si>
  <si>
    <t xml:space="preserve">Trọng có khả năng tiếp thu bài tốt, chủ động và có tinh thần ham học hỏi. Em tích cực tiếp nhận kiến thức và có ý thức trong học tập. Tuy nhiên, em vẫn còn hơi mất trật tự trong giờ học, đôi lúc làm ảnh hưởng đến sự tập trung. Em cần chú ý giữ trật tự </t>
  </si>
  <si>
    <t>Bảo có khả năng học tập tốt, tiếp thu bài nhanh và nắm kiến thức khá chắc. Tuy nhiên, em còn có tình trạng nói chuyện riêng và đôi lúc nói leo trong giờ học. Em cần chú ý giữ trật tự, lắng nghe và chờ đến lượt phát biểu để tiết học đạt hiệu quả tốt hơn.</t>
  </si>
  <si>
    <t xml:space="preserve">Hùng hiện còn gặp khá nhiều khó khăn trong việc tiếp thu và nắm kiến thức. Em chưa có ý thức làm bài tập đầy đủ, cả trên lớp và ở nhà, nên kết quả học tập chưa đạt yêu cầu. Trong giờ học, em còn khá ồn ào và chưa tập trung, ảnh hưởng đến hiệu quả </t>
  </si>
  <si>
    <t>Quân rất ngoan, có thái độ học tập nghiêm túc và giữ trật tự tốt trong giờ học. Em chăm chỉ, có ý thức hoàn thành bài tập đầy đủ và đạt kết quả học tập tốt. Cần tiếp tục duy trì tinh thần học tập và ý thức này trong thời gian tới.</t>
  </si>
  <si>
    <t xml:space="preserve">Nhi rất ngoan, có ý thức học tập và luôn cố gắng hoàn thành bài tập đầy đủ. Tuy nhiên, kết quả học tập của em hiện chưa được như mong muốn. Em còn khá rụt rè, chưa tự tin khi trao đổi và phát biểu trong giờ học. Em cần mạnh dạn hơn, tích cực đặt </t>
  </si>
  <si>
    <t>Bạn Châm có tinh thần học bài và làm bài tập về nhà rất tốt. Bạn thể hiện sự nghiêm túc và ý thức học tập tích cực. Bạn cần tiếp tục duy trì thói quen này, đồng thời chủ động hơn trong quá trình học để ngày càng tiến bộ.</t>
  </si>
  <si>
    <t>Nhận xét buổi học:</t>
  </si>
  <si>
    <t xml:space="preserve">Lớp có tinh thần hoc tập ổn và chăm chú nghe bài. Tuy nhiên vẫn còn những nhược điểm sau: Bạn An, Đức đi học muộn và một số bạn quên mang compa. Trong giờ học một số em vẫn còn ồn ào gây ảnh hưởng tới lớp học bao gồm các em sau: An, Hùng, Đức. Mong thời gian tới lớp đi học đúng giờ, mang đầy đủ thiết bị học tập và giữ trật tự cũng như tôn trọng giáo viên để đạt được kết quả cao trong học tập. </t>
  </si>
  <si>
    <t>Thang điểm 1–5: 1 = rất yếu/chưa tốt; 3 = đạt; 5 = nắm bài rất tốt/thái độ rất tốt.</t>
  </si>
</sst>
</file>

<file path=xl/styles.xml><?xml version="1.0" encoding="utf-8"?>
<styleSheet xmlns="http://schemas.openxmlformats.org/spreadsheetml/2006/main" xmlns:x14ac="http://schemas.microsoft.com/office/spreadsheetml/2009/9/ac" xmlns:mc="http://schemas.openxmlformats.org/markup-compatibility/2006">
  <fonts count="11">
    <font>
      <sz val="11.0"/>
      <color rgb="FF000000"/>
      <name val="Carlito"/>
      <scheme val="minor"/>
    </font>
    <font>
      <b/>
      <sz val="14.0"/>
      <color theme="1"/>
      <name val="Carlito"/>
    </font>
    <font>
      <b/>
      <sz val="11.0"/>
      <color theme="1"/>
      <name val="Carlito"/>
    </font>
    <font>
      <sz val="11.0"/>
      <color theme="1"/>
      <name val="Carlito"/>
    </font>
    <font>
      <color theme="1"/>
      <name val="Carlito"/>
      <scheme val="minor"/>
    </font>
    <font>
      <sz val="25.0"/>
      <color theme="1"/>
      <name val="Carlito"/>
      <scheme val="minor"/>
    </font>
    <font>
      <b/>
      <color theme="1"/>
      <name val="Carlito"/>
      <scheme val="minor"/>
    </font>
    <font/>
    <font>
      <b/>
      <i/>
      <sz val="14.0"/>
      <color theme="1"/>
      <name val="Carlito"/>
    </font>
    <font>
      <i/>
      <sz val="11.0"/>
      <color theme="1"/>
      <name val="Carlito"/>
    </font>
    <font>
      <i/>
      <sz val="9.0"/>
      <color theme="1"/>
      <name val="Carlito"/>
    </font>
  </fonts>
  <fills count="7">
    <fill>
      <patternFill patternType="none"/>
    </fill>
    <fill>
      <patternFill patternType="lightGray"/>
    </fill>
    <fill>
      <patternFill patternType="solid">
        <fgColor rgb="FFE2E8F0"/>
        <bgColor rgb="FFE2E8F0"/>
      </patternFill>
    </fill>
    <fill>
      <patternFill patternType="solid">
        <fgColor rgb="FFFFFFFF"/>
        <bgColor rgb="FFFFFFFF"/>
      </patternFill>
    </fill>
    <fill>
      <patternFill patternType="solid">
        <fgColor rgb="FFF6F8F9"/>
        <bgColor rgb="FFF6F8F9"/>
      </patternFill>
    </fill>
    <fill>
      <patternFill patternType="solid">
        <fgColor rgb="FF00FFFF"/>
        <bgColor rgb="FF00FFFF"/>
      </patternFill>
    </fill>
    <fill>
      <patternFill patternType="solid">
        <fgColor rgb="FF0000FF"/>
        <bgColor rgb="FF0000FF"/>
      </patternFill>
    </fill>
  </fills>
  <borders count="19">
    <border/>
    <border>
      <right style="medium">
        <color rgb="FF000000"/>
      </right>
    </border>
    <border>
      <right style="thin">
        <color rgb="FF000000"/>
      </right>
    </border>
    <border>
      <left style="thin">
        <color rgb="FFB7B7B7"/>
      </left>
      <top style="thin">
        <color rgb="FFB7B7B7"/>
      </top>
    </border>
    <border>
      <right style="thin">
        <color rgb="FFD9D9D9"/>
      </right>
      <top style="thin">
        <color rgb="FFB7B7B7"/>
      </top>
    </border>
    <border>
      <left style="thin">
        <color rgb="FFD9D9D9"/>
      </left>
      <top style="thin">
        <color rgb="FFB7B7B7"/>
      </top>
    </border>
    <border>
      <top style="thin">
        <color rgb="FFB7B7B7"/>
      </top>
    </border>
    <border>
      <right style="thin">
        <color rgb="FFB7B7B7"/>
      </right>
      <top style="thin">
        <color rgb="FFB7B7B7"/>
      </top>
    </border>
    <border>
      <left style="thin">
        <color rgb="FFB7B7B7"/>
      </left>
    </border>
    <border>
      <right style="thin">
        <color rgb="FFD9D9D9"/>
      </right>
    </border>
    <border>
      <left style="thin">
        <color rgb="FFD9D9D9"/>
      </left>
    </border>
    <border>
      <right style="thin">
        <color rgb="FFB7B7B7"/>
      </right>
    </border>
    <border>
      <left style="thin">
        <color rgb="FFB7B7B7"/>
      </left>
      <bottom style="thin">
        <color rgb="FFB7B7B7"/>
      </bottom>
    </border>
    <border>
      <right style="thin">
        <color rgb="FFD9D9D9"/>
      </right>
      <bottom style="thin">
        <color rgb="FFB7B7B7"/>
      </bottom>
    </border>
    <border>
      <left style="thin">
        <color rgb="FFD9D9D9"/>
      </left>
      <bottom style="thin">
        <color rgb="FFB7B7B7"/>
      </bottom>
    </border>
    <border>
      <bottom style="thin">
        <color rgb="FFB7B7B7"/>
      </bottom>
    </border>
    <border>
      <right style="thin">
        <color rgb="FFB7B7B7"/>
      </right>
      <bottom style="thin">
        <color rgb="FFB7B7B7"/>
      </bottom>
    </border>
    <border>
      <right style="medium">
        <color rgb="FF000000"/>
      </right>
      <top style="thin">
        <color rgb="FFB7B7B7"/>
      </top>
    </border>
    <border>
      <right style="medium">
        <color rgb="FF000000"/>
      </right>
      <bottom style="thin">
        <color rgb="FFB7B7B7"/>
      </bottom>
    </border>
  </borders>
  <cellStyleXfs count="1">
    <xf borderId="0" fillId="0" fontId="0" numFmtId="0" applyAlignment="1" applyFont="1"/>
  </cellStyleXfs>
  <cellXfs count="83">
    <xf borderId="0" fillId="0" fontId="0" numFmtId="0" xfId="0" applyAlignment="1" applyFont="1">
      <alignment readingOrder="0" shrinkToFit="0" vertical="bottom" wrapText="0"/>
    </xf>
    <xf borderId="0" fillId="0" fontId="1" numFmtId="0" xfId="0" applyAlignment="1" applyFont="1">
      <alignment horizontal="center" vertical="center"/>
    </xf>
    <xf borderId="0" fillId="0" fontId="2" numFmtId="0" xfId="0" applyAlignment="1" applyFont="1">
      <alignment vertical="center"/>
    </xf>
    <xf borderId="0" fillId="0" fontId="3" numFmtId="0" xfId="0" applyAlignment="1" applyFont="1">
      <alignment horizontal="center" readingOrder="0" vertical="center"/>
    </xf>
    <xf borderId="0" fillId="0" fontId="2" numFmtId="0" xfId="0" applyAlignment="1" applyFont="1">
      <alignment readingOrder="0" vertical="center"/>
    </xf>
    <xf borderId="0" fillId="0" fontId="3" numFmtId="0" xfId="0" applyAlignment="1" applyFont="1">
      <alignment vertical="center"/>
    </xf>
    <xf borderId="0" fillId="0" fontId="4" numFmtId="0" xfId="0" applyAlignment="1" applyFont="1">
      <alignment vertical="center"/>
    </xf>
    <xf borderId="1" fillId="0" fontId="3" numFmtId="0" xfId="0" applyAlignment="1" applyBorder="1" applyFont="1">
      <alignment readingOrder="0" vertical="center"/>
    </xf>
    <xf borderId="0" fillId="2" fontId="2" numFmtId="0" xfId="0" applyAlignment="1" applyFill="1" applyFont="1">
      <alignment horizontal="center" shrinkToFit="0" vertical="center" wrapText="1"/>
    </xf>
    <xf borderId="0" fillId="2" fontId="2" numFmtId="0" xfId="0" applyAlignment="1" applyFill="1" applyFont="1">
      <alignment horizontal="center" readingOrder="0" shrinkToFit="0" vertical="center" wrapText="1"/>
    </xf>
    <xf borderId="0" fillId="0" fontId="3" numFmtId="0" xfId="0" applyAlignment="1" applyFont="1">
      <alignment horizontal="center" shrinkToFit="0" vertical="center" wrapText="1"/>
    </xf>
    <xf borderId="2" fillId="0" fontId="3" numFmtId="0" xfId="0" applyAlignment="1" applyBorder="1" applyFont="1">
      <alignment readingOrder="0" vertical="center"/>
    </xf>
    <xf borderId="0" fillId="3" fontId="3" numFmtId="0" xfId="0" applyAlignment="1" applyFill="1" applyFont="1">
      <alignment vertical="bottom"/>
    </xf>
    <xf borderId="0" fillId="0" fontId="3" numFmtId="0" xfId="0" applyAlignment="1" applyFont="1">
      <alignment readingOrder="0" vertical="center"/>
    </xf>
    <xf borderId="0" fillId="3" fontId="3" numFmtId="0" xfId="0" applyAlignment="1" applyFill="1" applyFont="1">
      <alignment horizontal="center" readingOrder="0" shrinkToFit="0" vertical="bottom" wrapText="1"/>
    </xf>
    <xf borderId="0" fillId="0" fontId="3" numFmtId="0" xfId="0" applyAlignment="1" applyFont="1">
      <alignment horizontal="center" readingOrder="0" shrinkToFit="0" vertical="center" wrapText="1"/>
    </xf>
    <xf borderId="0" fillId="0" fontId="3" numFmtId="0" xfId="0" applyAlignment="1" applyFont="1">
      <alignment shrinkToFit="0" vertical="center" wrapText="1"/>
    </xf>
    <xf borderId="0" fillId="4" fontId="3" numFmtId="0" xfId="0" applyAlignment="1" applyFill="1" applyFont="1">
      <alignment vertical="bottom"/>
    </xf>
    <xf borderId="0" fillId="3" fontId="3" numFmtId="0" xfId="0" applyAlignment="1" applyFill="1" applyFont="1">
      <alignment horizontal="center" readingOrder="0" vertical="center"/>
    </xf>
    <xf borderId="0" fillId="4" fontId="3" numFmtId="0" xfId="0" applyAlignment="1" applyFill="1" applyFont="1">
      <alignment horizontal="center" readingOrder="0" shrinkToFit="0" vertical="bottom" wrapText="1"/>
    </xf>
    <xf borderId="0" fillId="3" fontId="2" numFmtId="0" xfId="0" applyAlignment="1" applyFill="1" applyFont="1">
      <alignment readingOrder="0" vertical="center"/>
    </xf>
    <xf borderId="0" fillId="4" fontId="3" numFmtId="0" xfId="0" applyAlignment="1" applyFill="1" applyFont="1">
      <alignment horizontal="center" readingOrder="0" shrinkToFit="0" vertical="bottom" wrapText="1"/>
    </xf>
    <xf borderId="0" fillId="3" fontId="3" numFmtId="0" xfId="0" applyAlignment="1" applyFill="1" applyFont="1">
      <alignment vertical="center"/>
    </xf>
    <xf borderId="0" fillId="3" fontId="3" numFmtId="0" xfId="0" applyAlignment="1" applyFill="1" applyFont="1">
      <alignment horizontal="center" readingOrder="0" shrinkToFit="0" vertical="bottom" wrapText="1"/>
    </xf>
    <xf borderId="0" fillId="0" fontId="3" numFmtId="0" xfId="0" applyAlignment="1" applyFont="1">
      <alignment horizontal="center" vertical="center"/>
    </xf>
    <xf borderId="0" fillId="0" fontId="3" numFmtId="0" xfId="0" applyAlignment="1" applyFont="1">
      <alignment horizontal="left" vertical="center"/>
    </xf>
    <xf borderId="1" fillId="0" fontId="3" numFmtId="0" xfId="0" applyAlignment="1" applyBorder="1" applyFont="1">
      <alignment horizontal="left" vertical="center"/>
    </xf>
    <xf borderId="0" fillId="4" fontId="3" numFmtId="0" xfId="0" applyAlignment="1" applyFill="1" applyFont="1">
      <alignment horizontal="center" vertical="center"/>
    </xf>
    <xf borderId="0" fillId="4" fontId="2" numFmtId="0" xfId="0" applyAlignment="1" applyFill="1" applyFont="1">
      <alignment vertical="center"/>
    </xf>
    <xf borderId="0" fillId="0" fontId="5" numFmtId="0" xfId="0" applyAlignment="1" applyFont="1">
      <alignment horizontal="center" readingOrder="0"/>
    </xf>
    <xf borderId="0" fillId="4" fontId="3" numFmtId="0" xfId="0" applyAlignment="1" applyFill="1" applyFont="1">
      <alignment horizontal="left" vertical="center"/>
    </xf>
    <xf borderId="0" fillId="0" fontId="2" numFmtId="0" xfId="0" applyAlignment="1" applyFont="1">
      <alignment readingOrder="0" shrinkToFit="0" vertical="center" wrapText="1"/>
    </xf>
    <xf borderId="0" fillId="4" fontId="3" numFmtId="0" xfId="0" applyAlignment="1" applyFill="1" applyFont="1">
      <alignment vertical="center"/>
    </xf>
    <xf borderId="2" fillId="0" fontId="3" numFmtId="0" xfId="0" applyAlignment="1" applyBorder="1" applyFont="1">
      <alignment horizontal="left" vertical="center"/>
    </xf>
    <xf borderId="0" fillId="5" fontId="3" numFmtId="0" xfId="0" applyAlignment="1" applyFill="1" applyFont="1">
      <alignment horizontal="center" shrinkToFit="0" vertical="center" wrapText="1"/>
    </xf>
    <xf borderId="0" fillId="3" fontId="3" numFmtId="0" xfId="0" applyAlignment="1" applyFill="1" applyFont="1">
      <alignment horizontal="center" vertical="bottom"/>
    </xf>
    <xf borderId="0" fillId="2" fontId="6" numFmtId="0" xfId="0" applyAlignment="1" applyFill="1" applyFont="1">
      <alignment horizontal="center" readingOrder="0" vertical="center"/>
    </xf>
    <xf borderId="1" fillId="0" fontId="7" numFmtId="0" xfId="0" applyBorder="1" applyFont="1"/>
    <xf borderId="0" fillId="0" fontId="3" numFmtId="0" xfId="0" applyAlignment="1" applyFont="1">
      <alignment readingOrder="0" shrinkToFit="0" vertical="center" wrapText="1"/>
    </xf>
    <xf borderId="2" fillId="0" fontId="7" numFmtId="0" xfId="0" applyBorder="1" applyFont="1"/>
    <xf borderId="0" fillId="4" fontId="3" numFmtId="0" xfId="0" applyAlignment="1" applyFill="1" applyFont="1">
      <alignment horizontal="center" vertical="bottom"/>
    </xf>
    <xf borderId="1" fillId="2" fontId="2" numFmtId="0" xfId="0" applyAlignment="1" applyBorder="1" applyFill="1" applyFont="1">
      <alignment horizontal="center" shrinkToFit="0" vertical="center" wrapText="1"/>
    </xf>
    <xf borderId="2" fillId="2" fontId="2" numFmtId="0" xfId="0" applyAlignment="1" applyBorder="1" applyFill="1" applyFont="1">
      <alignment horizontal="center" shrinkToFit="0" vertical="center" wrapText="1"/>
    </xf>
    <xf borderId="0" fillId="3" fontId="3" numFmtId="0" xfId="0" applyAlignment="1" applyFill="1" applyFont="1">
      <alignment horizontal="center" readingOrder="0" shrinkToFit="0" vertical="center" wrapText="1"/>
    </xf>
    <xf borderId="1" fillId="0" fontId="3" numFmtId="0" xfId="0" applyAlignment="1" applyBorder="1" applyFont="1">
      <alignment horizontal="center" readingOrder="0" shrinkToFit="0" vertical="center" wrapText="1"/>
    </xf>
    <xf borderId="0" fillId="6" fontId="3" numFmtId="0" xfId="0" applyAlignment="1" applyFill="1" applyFont="1">
      <alignment horizontal="center" shrinkToFit="0" vertical="center" wrapText="1"/>
    </xf>
    <xf borderId="0" fillId="0" fontId="3" numFmtId="0" xfId="0" applyAlignment="1" applyFont="1">
      <alignment horizontal="center" readingOrder="0" shrinkToFit="0" vertical="center" wrapText="1"/>
    </xf>
    <xf borderId="3" fillId="0" fontId="8" numFmtId="0" xfId="0" applyAlignment="1" applyBorder="1" applyFont="1">
      <alignment horizontal="center" shrinkToFit="0" vertical="center" wrapText="1"/>
    </xf>
    <xf borderId="4" fillId="4" fontId="7" numFmtId="0" xfId="0" applyBorder="1" applyFill="1" applyFont="1"/>
    <xf borderId="5" fillId="4" fontId="9" numFmtId="0" xfId="0" applyAlignment="1" applyBorder="1" applyFill="1" applyFont="1">
      <alignment horizontal="center" readingOrder="0" shrinkToFit="0" vertical="center" wrapText="1"/>
    </xf>
    <xf borderId="0" fillId="4" fontId="3" numFmtId="0" xfId="0" applyAlignment="1" applyFill="1" applyFont="1">
      <alignment horizontal="center" readingOrder="0" shrinkToFit="0" vertical="center" wrapText="1"/>
    </xf>
    <xf borderId="6" fillId="4" fontId="7" numFmtId="0" xfId="0" applyBorder="1" applyFill="1" applyFont="1"/>
    <xf borderId="0" fillId="4" fontId="3" numFmtId="0" xfId="0" applyAlignment="1" applyFill="1" applyFont="1">
      <alignment horizontal="center" readingOrder="0" shrinkToFit="0" vertical="center" wrapText="1"/>
    </xf>
    <xf borderId="6" fillId="0" fontId="7" numFmtId="0" xfId="0" applyBorder="1" applyFont="1"/>
    <xf borderId="7" fillId="0" fontId="7" numFmtId="0" xfId="0" applyBorder="1" applyFont="1"/>
    <xf borderId="8" fillId="0" fontId="7" numFmtId="0" xfId="0" applyBorder="1" applyFont="1"/>
    <xf borderId="9" fillId="0" fontId="7" numFmtId="0" xfId="0" applyBorder="1" applyFont="1"/>
    <xf borderId="10" fillId="0" fontId="7" numFmtId="0" xfId="0" applyBorder="1" applyFont="1"/>
    <xf borderId="11" fillId="0" fontId="7" numFmtId="0" xfId="0" applyBorder="1" applyFont="1"/>
    <xf borderId="12" fillId="0" fontId="7" numFmtId="0" xfId="0" applyBorder="1" applyFont="1"/>
    <xf borderId="13" fillId="0" fontId="7" numFmtId="0" xfId="0" applyBorder="1" applyFont="1"/>
    <xf borderId="14" fillId="0" fontId="7" numFmtId="0" xfId="0" applyBorder="1" applyFont="1"/>
    <xf borderId="15" fillId="0" fontId="7" numFmtId="0" xfId="0" applyBorder="1" applyFont="1"/>
    <xf borderId="16" fillId="0" fontId="7" numFmtId="0" xfId="0" applyBorder="1" applyFont="1"/>
    <xf borderId="0" fillId="0" fontId="3" numFmtId="0" xfId="0" applyAlignment="1" applyFont="1">
      <alignment shrinkToFit="0" wrapText="1"/>
    </xf>
    <xf borderId="0" fillId="0" fontId="10" numFmtId="0" xfId="0" applyAlignment="1" applyFont="1">
      <alignment shrinkToFit="0" vertical="center" wrapText="1"/>
    </xf>
    <xf borderId="0" fillId="0" fontId="4" numFmtId="0" xfId="0" applyAlignment="1" applyFont="1">
      <alignment readingOrder="0"/>
    </xf>
    <xf borderId="0" fillId="0" fontId="4" numFmtId="0" xfId="0" applyAlignment="1" applyFont="1">
      <alignment readingOrder="0" shrinkToFit="0" wrapText="1"/>
    </xf>
    <xf borderId="0" fillId="3" fontId="3" numFmtId="0" xfId="0" applyAlignment="1" applyFill="1" applyFont="1">
      <alignment horizontal="center" readingOrder="0" shrinkToFit="0" vertical="center" wrapText="1"/>
    </xf>
    <xf borderId="1" fillId="0" fontId="3" numFmtId="0" xfId="0" applyAlignment="1" applyBorder="1" applyFont="1">
      <alignment horizontal="center" shrinkToFit="0" vertical="center" wrapText="1"/>
    </xf>
    <xf borderId="17" fillId="0" fontId="7" numFmtId="0" xfId="0" applyBorder="1" applyFont="1"/>
    <xf borderId="6" fillId="4" fontId="9" numFmtId="0" xfId="0" applyAlignment="1" applyBorder="1" applyFill="1" applyFont="1">
      <alignment horizontal="center" shrinkToFit="0" vertical="center" wrapText="1"/>
    </xf>
    <xf borderId="5" fillId="4" fontId="9" numFmtId="0" xfId="0" applyAlignment="1" applyBorder="1" applyFill="1" applyFont="1">
      <alignment horizontal="center" shrinkToFit="0" vertical="center" wrapText="1"/>
    </xf>
    <xf borderId="0" fillId="4" fontId="9" numFmtId="0" xfId="0" applyAlignment="1" applyFill="1" applyFont="1">
      <alignment horizontal="center" shrinkToFit="0" vertical="center" wrapText="1"/>
    </xf>
    <xf borderId="9" fillId="3" fontId="7" numFmtId="0" xfId="0" applyBorder="1" applyFill="1" applyFont="1"/>
    <xf borderId="10" fillId="3" fontId="7" numFmtId="0" xfId="0" applyBorder="1" applyFill="1" applyFont="1"/>
    <xf borderId="13" fillId="4" fontId="7" numFmtId="0" xfId="0" applyBorder="1" applyFill="1" applyFont="1"/>
    <xf borderId="14" fillId="4" fontId="7" numFmtId="0" xfId="0" applyBorder="1" applyFill="1" applyFont="1"/>
    <xf borderId="15" fillId="4" fontId="7" numFmtId="0" xfId="0" applyBorder="1" applyFill="1" applyFont="1"/>
    <xf borderId="18" fillId="0" fontId="7" numFmtId="0" xfId="0" applyBorder="1" applyFont="1"/>
    <xf borderId="1" fillId="0" fontId="4" numFmtId="0" xfId="0" applyAlignment="1" applyBorder="1" applyFont="1">
      <alignment vertical="center"/>
    </xf>
    <xf borderId="1" fillId="0" fontId="4" numFmtId="0" xfId="0" applyBorder="1" applyFont="1"/>
    <xf borderId="2" fillId="0" fontId="4" numFmtId="0" xfId="0" applyBorder="1" applyFont="1"/>
  </cellXfs>
  <cellStyles count="1">
    <cellStyle xfId="0" name="Normal" builtinId="0"/>
  </cellStyles>
  <dxfs count="3">
    <dxf>
      <font/>
      <fill>
        <patternFill patternType="none"/>
      </fill>
      <border/>
    </dxf>
    <dxf>
      <font/>
      <fill>
        <patternFill patternType="solid">
          <fgColor rgb="FFFFFFFF"/>
          <bgColor rgb="FFFFFFFF"/>
        </patternFill>
      </fill>
      <border/>
    </dxf>
    <dxf>
      <font/>
      <fill>
        <patternFill patternType="solid">
          <fgColor rgb="FFF6F8F9"/>
          <bgColor rgb="FFF6F8F9"/>
        </patternFill>
      </fill>
      <border/>
    </dxf>
  </dxfs>
  <tableStyles count="3">
    <tableStyle count="2" pivot="0" name="Form đánh giá -style">
      <tableStyleElement dxfId="1" type="firstRowStripe"/>
      <tableStyleElement dxfId="2" type="secondRowStripe"/>
    </tableStyle>
    <tableStyle count="2" pivot="0" name="Form đánh giá -style 2">
      <tableStyleElement dxfId="1" type="firstRowStripe"/>
      <tableStyleElement dxfId="2" type="secondRowStripe"/>
    </tableStyle>
    <tableStyle count="2" pivot="0" name="Form đánh giá -style 3">
      <tableStyleElement dxfId="1" type="firstRowStripe"/>
      <tableStyleElement dxfId="2"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headerRowCount="0" ref="D2:F3" displayName="Table_1" name="Table_1" id="1">
  <tableColumns count="3">
    <tableColumn name="Column1" id="1"/>
    <tableColumn name="Column2" id="2"/>
    <tableColumn name="Column3" id="3"/>
  </tableColumns>
  <tableStyleInfo name="Form đánh giá -style" showColumnStripes="0" showFirstColumn="1" showLastColumn="1" showRowStripes="1"/>
</table>
</file>

<file path=xl/tables/table2.xml><?xml version="1.0" encoding="utf-8"?>
<table xmlns="http://schemas.openxmlformats.org/spreadsheetml/2006/main" headerRowCount="0" ref="J2:L3" displayName="Table_2" name="Table_2" id="2">
  <tableColumns count="3">
    <tableColumn name="Column1" id="1"/>
    <tableColumn name="Column2" id="2"/>
    <tableColumn name="Column3" id="3"/>
  </tableColumns>
  <tableStyleInfo name="Form đánh giá -style 2" showColumnStripes="0" showFirstColumn="1" showLastColumn="1" showRowStripes="1"/>
</table>
</file>

<file path=xl/tables/table3.xml><?xml version="1.0" encoding="utf-8"?>
<table xmlns="http://schemas.openxmlformats.org/spreadsheetml/2006/main" headerRowCount="0" ref="W2:Y3" displayName="Table_3" name="Table_3" id="3">
  <tableColumns count="3">
    <tableColumn name="Column1" id="1"/>
    <tableColumn name="Column2" id="2"/>
    <tableColumn name="Column3" id="3"/>
  </tableColumns>
  <tableStyleInfo name="Form đánh giá -style 3"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xSplit="2.0" topLeftCell="C1" activePane="topRight" state="frozen"/>
      <selection activeCell="D2" sqref="D2" pane="topRight"/>
    </sheetView>
  </sheetViews>
  <sheetFormatPr customHeight="1" defaultColWidth="12.63" defaultRowHeight="15.0"/>
  <cols>
    <col customWidth="1" min="2" max="2" width="25.25"/>
    <col customWidth="1" min="8" max="8" width="18.13"/>
    <col customWidth="1" min="13" max="13" width="66.38"/>
    <col customWidth="1" min="14" max="14" width="19.88"/>
    <col customWidth="1" min="20" max="20" width="63.75"/>
    <col customWidth="1" min="21" max="21" width="18.5"/>
    <col customWidth="1" min="26" max="26" width="69.13"/>
    <col customWidth="1" min="27" max="27" width="18.5"/>
    <col customWidth="1" min="32" max="32" width="56.88"/>
  </cols>
  <sheetData>
    <row r="1">
      <c r="A1" s="6"/>
      <c r="B1" s="6"/>
      <c r="C1" s="6"/>
      <c r="D1" s="6"/>
      <c r="E1" s="6"/>
      <c r="F1" s="6"/>
      <c r="G1" s="2" t="s">
        <v>3</v>
      </c>
      <c r="H1" s="7" t="s">
        <v>8</v>
      </c>
      <c r="I1" s="6"/>
      <c r="J1" s="6"/>
      <c r="K1" s="6"/>
      <c r="L1" s="6"/>
      <c r="M1" s="2" t="s">
        <v>3</v>
      </c>
      <c r="N1" s="7" t="s">
        <v>13</v>
      </c>
      <c r="O1" s="6"/>
      <c r="P1" s="6"/>
      <c r="Q1" s="6"/>
      <c r="R1" s="6"/>
      <c r="S1" s="6"/>
      <c r="T1" s="2" t="s">
        <v>3</v>
      </c>
      <c r="U1" s="7" t="s">
        <v>13</v>
      </c>
      <c r="V1" s="6"/>
      <c r="W1" s="6"/>
      <c r="X1" s="6"/>
      <c r="Y1" s="6"/>
      <c r="Z1" s="2" t="s">
        <v>3</v>
      </c>
      <c r="AA1" s="11" t="s">
        <v>13</v>
      </c>
      <c r="AB1" s="13"/>
      <c r="AC1" s="13"/>
      <c r="AD1" s="13"/>
      <c r="AE1" s="13"/>
      <c r="AF1" s="13"/>
      <c r="AG1" s="13"/>
      <c r="AH1" s="13"/>
      <c r="AI1" s="13"/>
      <c r="AJ1" s="13"/>
      <c r="AK1" s="13"/>
      <c r="AL1" s="13"/>
      <c r="AM1" s="13"/>
      <c r="AN1" s="13"/>
      <c r="AO1" s="13"/>
      <c r="AP1" s="13"/>
      <c r="AQ1" s="13"/>
      <c r="AR1" s="13"/>
      <c r="AS1" s="13"/>
      <c r="AT1" s="13"/>
      <c r="AU1" s="13"/>
      <c r="AV1" s="13"/>
      <c r="AW1" s="13"/>
      <c r="AX1" s="13"/>
      <c r="AY1" s="13"/>
    </row>
    <row r="2">
      <c r="A2" s="6"/>
      <c r="B2" s="6"/>
      <c r="C2" s="2" t="s">
        <v>1</v>
      </c>
      <c r="D2" s="3">
        <v>9.0</v>
      </c>
      <c r="E2" s="4" t="s">
        <v>2</v>
      </c>
      <c r="F2" s="5"/>
      <c r="G2" s="4" t="s">
        <v>19</v>
      </c>
      <c r="H2" s="7" t="s">
        <v>20</v>
      </c>
      <c r="I2" s="2" t="s">
        <v>1</v>
      </c>
      <c r="J2" s="3">
        <v>9.0</v>
      </c>
      <c r="K2" s="4" t="s">
        <v>21</v>
      </c>
      <c r="L2" s="5"/>
      <c r="M2" s="4" t="s">
        <v>19</v>
      </c>
      <c r="N2" s="7" t="s">
        <v>22</v>
      </c>
      <c r="O2" s="2" t="s">
        <v>1</v>
      </c>
      <c r="P2" s="18">
        <v>9.0</v>
      </c>
      <c r="Q2" s="20" t="s">
        <v>23</v>
      </c>
      <c r="R2" s="22"/>
      <c r="S2" s="22"/>
      <c r="T2" s="4" t="s">
        <v>19</v>
      </c>
      <c r="U2" s="7" t="s">
        <v>24</v>
      </c>
      <c r="V2" s="2" t="s">
        <v>1</v>
      </c>
      <c r="W2" s="3">
        <v>9.0</v>
      </c>
      <c r="X2" s="4" t="s">
        <v>25</v>
      </c>
      <c r="Y2" s="5"/>
      <c r="Z2" s="4" t="s">
        <v>19</v>
      </c>
      <c r="AA2" s="11" t="s">
        <v>24</v>
      </c>
      <c r="AB2" s="13"/>
      <c r="AC2" s="13"/>
      <c r="AD2" s="13"/>
      <c r="AE2" s="13"/>
      <c r="AF2" s="13"/>
      <c r="AG2" s="13"/>
      <c r="AH2" s="13"/>
      <c r="AI2" s="13"/>
      <c r="AJ2" s="13"/>
      <c r="AK2" s="13"/>
      <c r="AL2" s="13"/>
      <c r="AM2" s="13"/>
      <c r="AN2" s="13"/>
      <c r="AO2" s="13"/>
      <c r="AP2" s="13"/>
      <c r="AQ2" s="13"/>
      <c r="AR2" s="13"/>
      <c r="AS2" s="13"/>
      <c r="AT2" s="13"/>
      <c r="AU2" s="13"/>
      <c r="AV2" s="13"/>
      <c r="AW2" s="13"/>
      <c r="AX2" s="13"/>
      <c r="AY2" s="13"/>
    </row>
    <row r="3">
      <c r="A3" s="6"/>
      <c r="B3" s="6"/>
      <c r="C3" s="2" t="s">
        <v>5</v>
      </c>
      <c r="D3" s="24">
        <f>COUNTA(F6:F28)</f>
        <v>8</v>
      </c>
      <c r="E3" s="2" t="s">
        <v>6</v>
      </c>
      <c r="F3" s="25">
        <f>COUNTIF(D6:D28,"Có mặt")+COUNTIF(D6:D28,"Đi muộn")</f>
        <v>0</v>
      </c>
      <c r="G3" s="2" t="s">
        <v>7</v>
      </c>
      <c r="H3" s="26">
        <f>COUNTIF(C6:C28,"Vắng Có phép")+COUNTIF(C6:C28,"Có phép")</f>
        <v>1</v>
      </c>
      <c r="I3" s="2" t="s">
        <v>5</v>
      </c>
      <c r="J3" s="24">
        <f>COUNTA(L6:L28)</f>
        <v>9</v>
      </c>
      <c r="K3" s="2" t="s">
        <v>6</v>
      </c>
      <c r="L3" s="25">
        <f>COUNTIF(J6:J28,"Có mặt")+COUNTIF(J6:J28,"Đi muộn")</f>
        <v>0</v>
      </c>
      <c r="M3" s="2" t="s">
        <v>7</v>
      </c>
      <c r="N3" s="26">
        <f>COUNTIF(I6:I28,"Vắng Có phép")+COUNTIF(I6:I28,"Có phép")</f>
        <v>0</v>
      </c>
      <c r="O3" s="2" t="s">
        <v>5</v>
      </c>
      <c r="P3" s="27">
        <f>COUNTA(R6:R28)</f>
        <v>0</v>
      </c>
      <c r="Q3" s="28" t="s">
        <v>6</v>
      </c>
      <c r="R3" s="30">
        <f>COUNTIF(P6:P28,"Có mặt")+COUNTIF(P6:P28,"Đi muộn")</f>
        <v>0</v>
      </c>
      <c r="S3" s="30"/>
      <c r="T3" s="2" t="s">
        <v>7</v>
      </c>
      <c r="U3" s="26">
        <f>COUNTIF(O6:O28,"Vắng Có phép")+COUNTIF(O6:O28,"Có phép")</f>
        <v>0</v>
      </c>
      <c r="V3" s="2" t="s">
        <v>5</v>
      </c>
      <c r="W3" s="24">
        <f>COUNTA(Y6:Y28)</f>
        <v>0</v>
      </c>
      <c r="X3" s="2" t="s">
        <v>6</v>
      </c>
      <c r="Y3" s="25">
        <f>COUNTIF(W6:W28,"Có mặt")+COUNTIF(W6:W28,"Đi muộn")</f>
        <v>0</v>
      </c>
      <c r="Z3" s="2" t="s">
        <v>7</v>
      </c>
      <c r="AA3" s="33">
        <f>COUNTIF(V6:V28,"Vắng Có phép")+COUNTIF(V6:V28,"Có phép")</f>
        <v>0</v>
      </c>
      <c r="AB3" s="25"/>
      <c r="AC3" s="25"/>
      <c r="AD3" s="25"/>
      <c r="AE3" s="25"/>
      <c r="AF3" s="25"/>
      <c r="AG3" s="25"/>
      <c r="AH3" s="25"/>
      <c r="AI3" s="25"/>
      <c r="AJ3" s="25"/>
      <c r="AK3" s="25"/>
      <c r="AL3" s="25"/>
      <c r="AM3" s="25"/>
      <c r="AN3" s="25"/>
      <c r="AO3" s="25"/>
      <c r="AP3" s="25"/>
      <c r="AQ3" s="25"/>
      <c r="AR3" s="25"/>
      <c r="AS3" s="25"/>
      <c r="AT3" s="25"/>
      <c r="AU3" s="25"/>
      <c r="AV3" s="25"/>
      <c r="AW3" s="25"/>
      <c r="AX3" s="25"/>
      <c r="AY3" s="25"/>
    </row>
    <row r="4">
      <c r="A4" s="8" t="s">
        <v>9</v>
      </c>
      <c r="B4" s="8" t="s">
        <v>10</v>
      </c>
      <c r="C4" s="36" t="s">
        <v>29</v>
      </c>
      <c r="H4" s="37"/>
      <c r="I4" s="36" t="s">
        <v>27</v>
      </c>
      <c r="N4" s="37"/>
      <c r="O4" s="36" t="s">
        <v>31</v>
      </c>
      <c r="U4" s="37"/>
      <c r="V4" s="36" t="s">
        <v>27</v>
      </c>
      <c r="AA4" s="39"/>
      <c r="AB4" s="36"/>
      <c r="AC4" s="36"/>
      <c r="AD4" s="36"/>
      <c r="AE4" s="36"/>
      <c r="AF4" s="36"/>
      <c r="AG4" s="36"/>
      <c r="AH4" s="36"/>
      <c r="AI4" s="36"/>
      <c r="AJ4" s="36"/>
      <c r="AK4" s="36"/>
      <c r="AL4" s="36"/>
      <c r="AM4" s="36"/>
      <c r="AN4" s="36"/>
      <c r="AO4" s="36"/>
      <c r="AP4" s="36"/>
      <c r="AQ4" s="36"/>
      <c r="AR4" s="36"/>
      <c r="AS4" s="36"/>
      <c r="AT4" s="36"/>
      <c r="AU4" s="36"/>
      <c r="AV4" s="36"/>
      <c r="AW4" s="36"/>
      <c r="AX4" s="36"/>
      <c r="AY4" s="36"/>
    </row>
    <row r="5">
      <c r="C5" s="8" t="s">
        <v>11</v>
      </c>
      <c r="D5" s="9" t="s">
        <v>12</v>
      </c>
      <c r="E5" s="8" t="s">
        <v>14</v>
      </c>
      <c r="F5" s="8" t="s">
        <v>15</v>
      </c>
      <c r="G5" s="9" t="s">
        <v>16</v>
      </c>
      <c r="H5" s="41" t="s">
        <v>17</v>
      </c>
      <c r="I5" s="8" t="s">
        <v>11</v>
      </c>
      <c r="J5" s="9" t="s">
        <v>12</v>
      </c>
      <c r="K5" s="8" t="s">
        <v>14</v>
      </c>
      <c r="L5" s="8" t="s">
        <v>15</v>
      </c>
      <c r="M5" s="9" t="s">
        <v>16</v>
      </c>
      <c r="N5" s="41" t="s">
        <v>17</v>
      </c>
      <c r="O5" s="8" t="s">
        <v>11</v>
      </c>
      <c r="P5" s="9" t="s">
        <v>12</v>
      </c>
      <c r="Q5" s="8" t="s">
        <v>14</v>
      </c>
      <c r="R5" s="8" t="s">
        <v>15</v>
      </c>
      <c r="S5" s="9" t="s">
        <v>34</v>
      </c>
      <c r="T5" s="9" t="s">
        <v>35</v>
      </c>
      <c r="U5" s="41" t="s">
        <v>17</v>
      </c>
      <c r="V5" s="8" t="s">
        <v>11</v>
      </c>
      <c r="W5" s="9" t="s">
        <v>12</v>
      </c>
      <c r="X5" s="8" t="s">
        <v>14</v>
      </c>
      <c r="Y5" s="8" t="s">
        <v>15</v>
      </c>
      <c r="Z5" s="9" t="s">
        <v>35</v>
      </c>
      <c r="AA5" s="42" t="s">
        <v>17</v>
      </c>
      <c r="AB5" s="8" t="s">
        <v>11</v>
      </c>
      <c r="AC5" s="9" t="s">
        <v>12</v>
      </c>
      <c r="AD5" s="8" t="s">
        <v>14</v>
      </c>
      <c r="AE5" s="8" t="s">
        <v>15</v>
      </c>
      <c r="AF5" s="9" t="s">
        <v>16</v>
      </c>
      <c r="AG5" s="42" t="s">
        <v>17</v>
      </c>
      <c r="AH5" s="8"/>
      <c r="AI5" s="8"/>
      <c r="AJ5" s="8"/>
      <c r="AK5" s="8"/>
      <c r="AL5" s="8"/>
      <c r="AM5" s="8"/>
      <c r="AN5" s="8"/>
      <c r="AO5" s="8"/>
      <c r="AP5" s="8"/>
      <c r="AQ5" s="8"/>
      <c r="AR5" s="8"/>
      <c r="AS5" s="8"/>
      <c r="AT5" s="8"/>
      <c r="AU5" s="8"/>
      <c r="AV5" s="8"/>
      <c r="AW5" s="8"/>
      <c r="AX5" s="8"/>
      <c r="AY5" s="8"/>
    </row>
    <row r="6">
      <c r="A6" s="10">
        <v>1.0</v>
      </c>
      <c r="B6" s="22" t="str">
        <f>IFERROR(IF('[TrungTam_HungCuong_T8.xlsx]LOP_04'!$B$21="","",'[TrungTam_HungCuong_T8.xlsx]LOP_04'!$B$21),"Trường An")</f>
        <v>Trường An</v>
      </c>
      <c r="C6" s="43" t="s">
        <v>18</v>
      </c>
      <c r="D6" s="43">
        <v>2.0</v>
      </c>
      <c r="E6" s="10"/>
      <c r="F6" s="15">
        <v>4.0</v>
      </c>
      <c r="G6" s="16"/>
      <c r="H6" s="44">
        <v>3.0</v>
      </c>
      <c r="I6" s="43" t="s">
        <v>18</v>
      </c>
      <c r="J6" s="43">
        <v>1.0</v>
      </c>
      <c r="K6" s="10"/>
      <c r="L6" s="15">
        <v>4.0</v>
      </c>
      <c r="M6" s="38" t="s">
        <v>30</v>
      </c>
      <c r="N6" s="44">
        <v>3.0</v>
      </c>
      <c r="O6" s="43" t="s">
        <v>18</v>
      </c>
      <c r="P6" s="43"/>
      <c r="Q6" s="10"/>
      <c r="R6" s="15"/>
      <c r="S6" s="38"/>
      <c r="T6" s="38"/>
      <c r="U6" s="44"/>
      <c r="V6" s="43"/>
      <c r="W6" s="43"/>
      <c r="X6" s="10"/>
      <c r="Y6" s="15"/>
      <c r="Z6" s="38"/>
      <c r="AA6" s="15"/>
      <c r="AB6" s="46"/>
      <c r="AC6" s="46"/>
      <c r="AD6" s="10"/>
      <c r="AE6" s="15"/>
      <c r="AF6" s="38"/>
      <c r="AG6" s="15"/>
      <c r="AH6" s="15"/>
      <c r="AI6" s="15"/>
      <c r="AJ6" s="15"/>
      <c r="AK6" s="15"/>
      <c r="AL6" s="15"/>
      <c r="AM6" s="15"/>
      <c r="AN6" s="15"/>
      <c r="AO6" s="15"/>
      <c r="AP6" s="15"/>
      <c r="AQ6" s="15"/>
      <c r="AR6" s="15"/>
      <c r="AS6" s="15"/>
      <c r="AT6" s="15"/>
      <c r="AU6" s="15"/>
      <c r="AV6" s="15"/>
      <c r="AW6" s="15"/>
      <c r="AX6" s="15"/>
      <c r="AY6" s="15"/>
    </row>
    <row r="7">
      <c r="A7" s="10">
        <v>2.0</v>
      </c>
      <c r="B7" s="32" t="str">
        <f>IFERROR(IF('[TrungTam_HungCuong_T8.xlsx]LOP_04'!$B$22="","",'[TrungTam_HungCuong_T8.xlsx]LOP_04'!$B$22),"Như Quỳnh")</f>
        <v>Như Quỳnh</v>
      </c>
      <c r="C7" s="50" t="s">
        <v>18</v>
      </c>
      <c r="D7" s="52"/>
      <c r="E7" s="10"/>
      <c r="F7" s="15">
        <v>4.0</v>
      </c>
      <c r="G7" s="16"/>
      <c r="H7" s="44">
        <v>5.0</v>
      </c>
      <c r="I7" s="50" t="s">
        <v>18</v>
      </c>
      <c r="J7" s="50">
        <v>1.0</v>
      </c>
      <c r="K7" s="10"/>
      <c r="L7" s="15">
        <v>4.0</v>
      </c>
      <c r="M7" s="38" t="s">
        <v>32</v>
      </c>
      <c r="N7" s="44">
        <v>5.0</v>
      </c>
      <c r="O7" s="50" t="s">
        <v>18</v>
      </c>
      <c r="P7" s="50"/>
      <c r="Q7" s="10"/>
      <c r="R7" s="15"/>
      <c r="S7" s="38"/>
      <c r="T7" s="38"/>
      <c r="U7" s="44"/>
      <c r="V7" s="50"/>
      <c r="W7" s="50"/>
      <c r="X7" s="10"/>
      <c r="Y7" s="15"/>
      <c r="Z7" s="38"/>
      <c r="AA7" s="15"/>
      <c r="AB7" s="46"/>
      <c r="AC7" s="46"/>
      <c r="AD7" s="10"/>
      <c r="AE7" s="15"/>
      <c r="AF7" s="38"/>
      <c r="AG7" s="15"/>
      <c r="AH7" s="15"/>
      <c r="AI7" s="15"/>
      <c r="AJ7" s="15"/>
      <c r="AK7" s="15"/>
      <c r="AL7" s="15"/>
      <c r="AM7" s="15"/>
      <c r="AN7" s="15"/>
      <c r="AO7" s="15"/>
      <c r="AP7" s="15"/>
      <c r="AQ7" s="15"/>
      <c r="AR7" s="15"/>
      <c r="AS7" s="15"/>
      <c r="AT7" s="15"/>
      <c r="AU7" s="15"/>
      <c r="AV7" s="15"/>
      <c r="AW7" s="15"/>
      <c r="AX7" s="15"/>
      <c r="AY7" s="15"/>
    </row>
    <row r="8">
      <c r="A8" s="10">
        <v>3.0</v>
      </c>
      <c r="B8" s="22" t="str">
        <f>IFERROR(IF('[TrungTam_HungCuong_T8.xlsx]LOP_04'!$B$23="","",'[TrungTam_HungCuong_T8.xlsx]LOP_04'!$B$23),"Huy Đức")</f>
        <v>Huy Đức</v>
      </c>
      <c r="C8" s="43" t="s">
        <v>26</v>
      </c>
      <c r="D8" s="68"/>
      <c r="E8" s="10"/>
      <c r="F8" s="15"/>
      <c r="G8" s="16"/>
      <c r="H8" s="69"/>
      <c r="I8" s="43" t="s">
        <v>18</v>
      </c>
      <c r="J8" s="43">
        <v>3.0</v>
      </c>
      <c r="K8" s="10"/>
      <c r="L8" s="15">
        <v>4.0</v>
      </c>
      <c r="M8" s="38" t="s">
        <v>33</v>
      </c>
      <c r="N8" s="44">
        <v>3.0</v>
      </c>
      <c r="O8" s="43" t="s">
        <v>18</v>
      </c>
      <c r="P8" s="43"/>
      <c r="Q8" s="10"/>
      <c r="R8" s="15"/>
      <c r="S8" s="38"/>
      <c r="T8" s="38"/>
      <c r="U8" s="44"/>
      <c r="V8" s="43"/>
      <c r="W8" s="43"/>
      <c r="X8" s="10"/>
      <c r="Y8" s="15"/>
      <c r="Z8" s="38"/>
      <c r="AA8" s="15"/>
      <c r="AB8" s="46"/>
      <c r="AC8" s="46"/>
      <c r="AD8" s="10"/>
      <c r="AE8" s="15"/>
      <c r="AF8" s="38"/>
      <c r="AG8" s="15"/>
      <c r="AH8" s="15"/>
      <c r="AI8" s="15"/>
      <c r="AJ8" s="15"/>
      <c r="AK8" s="15"/>
      <c r="AL8" s="15"/>
      <c r="AM8" s="15"/>
      <c r="AN8" s="15"/>
      <c r="AO8" s="15"/>
      <c r="AP8" s="15"/>
      <c r="AQ8" s="15"/>
      <c r="AR8" s="15"/>
      <c r="AS8" s="15"/>
      <c r="AT8" s="15"/>
      <c r="AU8" s="15"/>
      <c r="AV8" s="15"/>
      <c r="AW8" s="15"/>
      <c r="AX8" s="15"/>
      <c r="AY8" s="15"/>
    </row>
    <row r="9">
      <c r="A9" s="10">
        <v>4.0</v>
      </c>
      <c r="B9" s="32" t="str">
        <f>IFERROR(IF('[TrungTam_HungCuong_T8.xlsx]LOP_04'!$B$24="","",'[TrungTam_HungCuong_T8.xlsx]LOP_04'!$B$24),"Anh Trọng")</f>
        <v>Anh Trọng</v>
      </c>
      <c r="C9" s="50" t="s">
        <v>18</v>
      </c>
      <c r="D9" s="52"/>
      <c r="E9" s="10"/>
      <c r="F9" s="15">
        <v>4.0</v>
      </c>
      <c r="G9" s="16"/>
      <c r="H9" s="44">
        <v>5.0</v>
      </c>
      <c r="I9" s="50" t="s">
        <v>18</v>
      </c>
      <c r="J9" s="50">
        <v>1.0</v>
      </c>
      <c r="K9" s="10"/>
      <c r="L9" s="15">
        <v>4.0</v>
      </c>
      <c r="M9" s="38" t="s">
        <v>36</v>
      </c>
      <c r="N9" s="44">
        <v>4.0</v>
      </c>
      <c r="O9" s="50" t="s">
        <v>18</v>
      </c>
      <c r="P9" s="50"/>
      <c r="Q9" s="10"/>
      <c r="R9" s="15"/>
      <c r="S9" s="38"/>
      <c r="T9" s="38"/>
      <c r="U9" s="44"/>
      <c r="V9" s="50"/>
      <c r="W9" s="50"/>
      <c r="X9" s="10"/>
      <c r="Y9" s="15"/>
      <c r="Z9" s="38"/>
      <c r="AA9" s="15"/>
      <c r="AB9" s="46"/>
      <c r="AC9" s="46"/>
      <c r="AD9" s="10"/>
      <c r="AE9" s="15"/>
      <c r="AF9" s="38"/>
      <c r="AG9" s="15"/>
      <c r="AH9" s="15"/>
      <c r="AI9" s="15"/>
      <c r="AJ9" s="15"/>
      <c r="AK9" s="15"/>
      <c r="AL9" s="15"/>
      <c r="AM9" s="15"/>
      <c r="AN9" s="15"/>
      <c r="AO9" s="15"/>
      <c r="AP9" s="15"/>
      <c r="AQ9" s="15"/>
      <c r="AR9" s="15"/>
      <c r="AS9" s="15"/>
      <c r="AT9" s="15"/>
      <c r="AU9" s="15"/>
      <c r="AV9" s="15"/>
      <c r="AW9" s="15"/>
      <c r="AX9" s="15"/>
      <c r="AY9" s="15"/>
    </row>
    <row r="10">
      <c r="A10" s="10">
        <v>5.0</v>
      </c>
      <c r="B10" s="22" t="str">
        <f>IFERROR(IF('[TrungTam_HungCuong_T8.xlsx]LOP_04'!$B$25="","",'[TrungTam_HungCuong_T8.xlsx]LOP_04'!$B$25),"Nguyễn Gia Bảo")</f>
        <v>Nguyễn Gia Bảo</v>
      </c>
      <c r="C10" s="43" t="s">
        <v>18</v>
      </c>
      <c r="D10" s="43">
        <v>3.0</v>
      </c>
      <c r="E10" s="10"/>
      <c r="F10" s="15">
        <v>4.0</v>
      </c>
      <c r="G10" s="16"/>
      <c r="H10" s="44">
        <v>3.0</v>
      </c>
      <c r="I10" s="43" t="s">
        <v>18</v>
      </c>
      <c r="J10" s="43">
        <v>4.0</v>
      </c>
      <c r="K10" s="10"/>
      <c r="L10" s="15">
        <v>5.0</v>
      </c>
      <c r="M10" s="38" t="s">
        <v>37</v>
      </c>
      <c r="N10" s="44">
        <v>4.0</v>
      </c>
      <c r="O10" s="43" t="s">
        <v>18</v>
      </c>
      <c r="P10" s="43"/>
      <c r="Q10" s="10"/>
      <c r="R10" s="15"/>
      <c r="S10" s="38"/>
      <c r="T10" s="38"/>
      <c r="U10" s="44"/>
      <c r="V10" s="43"/>
      <c r="W10" s="43"/>
      <c r="X10" s="10"/>
      <c r="Y10" s="15"/>
      <c r="Z10" s="38"/>
      <c r="AA10" s="15"/>
      <c r="AB10" s="46"/>
      <c r="AC10" s="46"/>
      <c r="AD10" s="10"/>
      <c r="AE10" s="15"/>
      <c r="AF10" s="38"/>
      <c r="AG10" s="15"/>
      <c r="AH10" s="15"/>
      <c r="AI10" s="15"/>
      <c r="AJ10" s="15"/>
      <c r="AK10" s="15"/>
      <c r="AL10" s="15"/>
      <c r="AM10" s="15"/>
      <c r="AN10" s="15"/>
      <c r="AO10" s="15"/>
      <c r="AP10" s="15"/>
      <c r="AQ10" s="15"/>
      <c r="AR10" s="15"/>
      <c r="AS10" s="15"/>
      <c r="AT10" s="15"/>
      <c r="AU10" s="15"/>
      <c r="AV10" s="15"/>
      <c r="AW10" s="15"/>
      <c r="AX10" s="15"/>
      <c r="AY10" s="15"/>
    </row>
    <row r="11">
      <c r="A11" s="10">
        <v>6.0</v>
      </c>
      <c r="B11" s="32" t="str">
        <f>IFERROR(IF('[TrungTam_HungCuong_T8.xlsx]LOP_04'!$B$26="","",'[TrungTam_HungCuong_T8.xlsx]LOP_04'!$B$26),"Phạm Đức Hùng")</f>
        <v>Phạm Đức Hùng</v>
      </c>
      <c r="C11" s="50" t="s">
        <v>18</v>
      </c>
      <c r="D11" s="52"/>
      <c r="E11" s="10"/>
      <c r="F11" s="15">
        <v>3.0</v>
      </c>
      <c r="G11" s="16"/>
      <c r="H11" s="44">
        <v>2.0</v>
      </c>
      <c r="I11" s="50" t="s">
        <v>18</v>
      </c>
      <c r="J11" s="50">
        <v>3.0</v>
      </c>
      <c r="K11" s="10"/>
      <c r="L11" s="15">
        <v>3.0</v>
      </c>
      <c r="M11" s="38" t="s">
        <v>38</v>
      </c>
      <c r="N11" s="44">
        <v>2.0</v>
      </c>
      <c r="O11" s="50" t="s">
        <v>18</v>
      </c>
      <c r="P11" s="50"/>
      <c r="Q11" s="10"/>
      <c r="R11" s="15"/>
      <c r="S11" s="38"/>
      <c r="T11" s="38"/>
      <c r="U11" s="44"/>
      <c r="V11" s="50"/>
      <c r="W11" s="50"/>
      <c r="X11" s="10"/>
      <c r="Y11" s="15"/>
      <c r="Z11" s="38"/>
      <c r="AA11" s="15"/>
      <c r="AB11" s="46"/>
      <c r="AC11" s="46"/>
      <c r="AD11" s="10"/>
      <c r="AE11" s="15"/>
      <c r="AF11" s="38"/>
      <c r="AG11" s="15"/>
      <c r="AH11" s="15"/>
      <c r="AI11" s="15"/>
      <c r="AJ11" s="15"/>
      <c r="AK11" s="15"/>
      <c r="AL11" s="15"/>
      <c r="AM11" s="15"/>
      <c r="AN11" s="15"/>
      <c r="AO11" s="15"/>
      <c r="AP11" s="15"/>
      <c r="AQ11" s="15"/>
      <c r="AR11" s="15"/>
      <c r="AS11" s="15"/>
      <c r="AT11" s="15"/>
      <c r="AU11" s="15"/>
      <c r="AV11" s="15"/>
      <c r="AW11" s="15"/>
      <c r="AX11" s="15"/>
      <c r="AY11" s="15"/>
    </row>
    <row r="12">
      <c r="A12" s="10">
        <v>7.0</v>
      </c>
      <c r="B12" s="22" t="str">
        <f>IFERROR(IF('[TrungTam_HungCuong_T8.xlsx]LOP_04'!$B$27="","",'[TrungTam_HungCuong_T8.xlsx]LOP_04'!$B$27),"Quân")</f>
        <v>Quân</v>
      </c>
      <c r="C12" s="43" t="s">
        <v>18</v>
      </c>
      <c r="D12" s="68"/>
      <c r="E12" s="10"/>
      <c r="F12" s="15">
        <v>4.0</v>
      </c>
      <c r="G12" s="16"/>
      <c r="H12" s="44">
        <v>5.0</v>
      </c>
      <c r="I12" s="43" t="s">
        <v>18</v>
      </c>
      <c r="J12" s="43">
        <v>3.0</v>
      </c>
      <c r="K12" s="10"/>
      <c r="L12" s="15">
        <v>4.0</v>
      </c>
      <c r="M12" s="38" t="s">
        <v>39</v>
      </c>
      <c r="N12" s="44">
        <v>5.0</v>
      </c>
      <c r="O12" s="43" t="s">
        <v>18</v>
      </c>
      <c r="P12" s="43"/>
      <c r="Q12" s="10"/>
      <c r="R12" s="15"/>
      <c r="S12" s="38"/>
      <c r="T12" s="38"/>
      <c r="U12" s="44"/>
      <c r="V12" s="43"/>
      <c r="W12" s="43"/>
      <c r="X12" s="10"/>
      <c r="Y12" s="15"/>
      <c r="Z12" s="38"/>
      <c r="AA12" s="15"/>
      <c r="AB12" s="46"/>
      <c r="AC12" s="46"/>
      <c r="AD12" s="10"/>
      <c r="AE12" s="15"/>
      <c r="AF12" s="38"/>
      <c r="AG12" s="15"/>
      <c r="AH12" s="15"/>
      <c r="AI12" s="15"/>
      <c r="AJ12" s="15"/>
      <c r="AK12" s="15"/>
      <c r="AL12" s="15"/>
      <c r="AM12" s="15"/>
      <c r="AN12" s="15"/>
      <c r="AO12" s="15"/>
      <c r="AP12" s="15"/>
      <c r="AQ12" s="15"/>
      <c r="AR12" s="15"/>
      <c r="AS12" s="15"/>
      <c r="AT12" s="15"/>
      <c r="AU12" s="15"/>
      <c r="AV12" s="15"/>
      <c r="AW12" s="15"/>
      <c r="AX12" s="15"/>
      <c r="AY12" s="15"/>
    </row>
    <row r="13">
      <c r="A13" s="10">
        <v>8.0</v>
      </c>
      <c r="B13" s="32" t="str">
        <f>IFERROR(IF('[TrungTam_HungCuong_T8.xlsx]LOP_04'!$B$29="","",'[TrungTam_HungCuong_T8.xlsx]LOP_04'!$B$29),"Phương Nhi")</f>
        <v>Phương Nhi</v>
      </c>
      <c r="C13" s="50" t="s">
        <v>18</v>
      </c>
      <c r="D13" s="50">
        <v>1.0</v>
      </c>
      <c r="E13" s="10"/>
      <c r="F13" s="15">
        <v>4.0</v>
      </c>
      <c r="G13" s="16"/>
      <c r="H13" s="44">
        <v>5.0</v>
      </c>
      <c r="I13" s="50" t="s">
        <v>18</v>
      </c>
      <c r="J13" s="50">
        <v>1.0</v>
      </c>
      <c r="K13" s="10"/>
      <c r="L13" s="15">
        <v>4.0</v>
      </c>
      <c r="M13" s="38" t="s">
        <v>40</v>
      </c>
      <c r="N13" s="44">
        <v>5.0</v>
      </c>
      <c r="O13" s="50" t="s">
        <v>18</v>
      </c>
      <c r="P13" s="50"/>
      <c r="Q13" s="10"/>
      <c r="R13" s="15"/>
      <c r="S13" s="38"/>
      <c r="T13" s="38"/>
      <c r="U13" s="44"/>
      <c r="V13" s="50"/>
      <c r="W13" s="50"/>
      <c r="X13" s="10"/>
      <c r="Y13" s="15"/>
      <c r="Z13" s="38"/>
      <c r="AA13" s="15"/>
      <c r="AB13" s="46"/>
      <c r="AC13" s="46"/>
      <c r="AD13" s="10"/>
      <c r="AE13" s="15"/>
      <c r="AF13" s="38"/>
      <c r="AG13" s="15"/>
      <c r="AH13" s="15"/>
      <c r="AI13" s="15"/>
      <c r="AJ13" s="15"/>
      <c r="AK13" s="15"/>
      <c r="AL13" s="15"/>
      <c r="AM13" s="15"/>
      <c r="AN13" s="15"/>
      <c r="AO13" s="15"/>
      <c r="AP13" s="15"/>
      <c r="AQ13" s="15"/>
      <c r="AR13" s="15"/>
      <c r="AS13" s="15"/>
      <c r="AT13" s="15"/>
      <c r="AU13" s="15"/>
      <c r="AV13" s="15"/>
      <c r="AW13" s="15"/>
      <c r="AX13" s="15"/>
      <c r="AY13" s="15"/>
    </row>
    <row r="14">
      <c r="A14" s="10">
        <v>9.0</v>
      </c>
      <c r="B14" s="22" t="str">
        <f>IFERROR(IF('[TrungTam_HungCuong_T8.xlsx]LOP_04'!$B$30="","",'[TrungTam_HungCuong_T8.xlsx]LOP_04'!$B$30),"Lê Bảo Châm")</f>
        <v>Lê Bảo Châm</v>
      </c>
      <c r="C14" s="43" t="s">
        <v>18</v>
      </c>
      <c r="D14" s="43">
        <v>3.0</v>
      </c>
      <c r="E14" s="10"/>
      <c r="F14" s="15">
        <v>4.0</v>
      </c>
      <c r="G14" s="16"/>
      <c r="H14" s="44">
        <v>5.0</v>
      </c>
      <c r="I14" s="43" t="s">
        <v>18</v>
      </c>
      <c r="J14" s="43">
        <v>4.0</v>
      </c>
      <c r="K14" s="10"/>
      <c r="L14" s="15">
        <v>5.0</v>
      </c>
      <c r="M14" s="38" t="s">
        <v>41</v>
      </c>
      <c r="N14" s="44">
        <v>5.0</v>
      </c>
      <c r="O14" s="43" t="s">
        <v>18</v>
      </c>
      <c r="P14" s="43"/>
      <c r="Q14" s="10"/>
      <c r="R14" s="15"/>
      <c r="S14" s="38"/>
      <c r="T14" s="38"/>
      <c r="U14" s="44"/>
      <c r="V14" s="43"/>
      <c r="W14" s="43"/>
      <c r="X14" s="10"/>
      <c r="Y14" s="15"/>
      <c r="Z14" s="38"/>
      <c r="AA14" s="15"/>
      <c r="AB14" s="46"/>
      <c r="AC14" s="46"/>
      <c r="AD14" s="10"/>
      <c r="AE14" s="15"/>
      <c r="AF14" s="38"/>
      <c r="AG14" s="15"/>
      <c r="AH14" s="15"/>
      <c r="AI14" s="15"/>
      <c r="AJ14" s="15"/>
      <c r="AK14" s="15"/>
      <c r="AL14" s="15"/>
      <c r="AM14" s="15"/>
      <c r="AN14" s="15"/>
      <c r="AO14" s="15"/>
      <c r="AP14" s="15"/>
      <c r="AQ14" s="15"/>
      <c r="AR14" s="15"/>
      <c r="AS14" s="15"/>
      <c r="AT14" s="15"/>
      <c r="AU14" s="15"/>
      <c r="AV14" s="15"/>
      <c r="AW14" s="15"/>
      <c r="AX14" s="15"/>
      <c r="AY14" s="15"/>
    </row>
    <row r="15">
      <c r="A15" s="47" t="s">
        <v>42</v>
      </c>
      <c r="B15" s="48"/>
      <c r="C15" s="49"/>
      <c r="D15" s="51"/>
      <c r="E15" s="53"/>
      <c r="F15" s="53"/>
      <c r="G15" s="53"/>
      <c r="H15" s="70"/>
      <c r="I15" s="71" t="s">
        <v>43</v>
      </c>
      <c r="J15" s="51"/>
      <c r="K15" s="53"/>
      <c r="L15" s="53"/>
      <c r="M15" s="53"/>
      <c r="N15" s="70"/>
      <c r="O15" s="71"/>
      <c r="P15" s="51"/>
      <c r="Q15" s="53"/>
      <c r="R15" s="53"/>
      <c r="S15" s="53"/>
      <c r="T15" s="53"/>
      <c r="U15" s="70"/>
      <c r="V15" s="71"/>
      <c r="W15" s="51"/>
      <c r="X15" s="53"/>
      <c r="Y15" s="53"/>
      <c r="Z15" s="53"/>
      <c r="AA15" s="54"/>
      <c r="AB15" s="72"/>
      <c r="AC15" s="53"/>
      <c r="AD15" s="53"/>
      <c r="AE15" s="53"/>
      <c r="AF15" s="53"/>
      <c r="AG15" s="54"/>
      <c r="AH15" s="73"/>
      <c r="AN15" s="73"/>
      <c r="AO15" s="73"/>
      <c r="AP15" s="73"/>
      <c r="AQ15" s="73"/>
      <c r="AR15" s="73"/>
      <c r="AS15" s="73"/>
      <c r="AT15" s="73"/>
      <c r="AU15" s="73"/>
      <c r="AV15" s="73"/>
      <c r="AW15" s="73"/>
      <c r="AX15" s="73"/>
      <c r="AY15" s="73"/>
    </row>
    <row r="16">
      <c r="A16" s="55"/>
      <c r="B16" s="74"/>
      <c r="C16" s="75"/>
      <c r="H16" s="37"/>
      <c r="N16" s="37"/>
      <c r="U16" s="37"/>
      <c r="AA16" s="58"/>
      <c r="AB16" s="57"/>
      <c r="AG16" s="58"/>
      <c r="AN16" s="73"/>
      <c r="AO16" s="73"/>
      <c r="AP16" s="73"/>
      <c r="AQ16" s="73"/>
      <c r="AR16" s="73"/>
      <c r="AS16" s="73"/>
      <c r="AT16" s="73"/>
      <c r="AU16" s="73"/>
      <c r="AV16" s="73"/>
      <c r="AW16" s="73"/>
      <c r="AX16" s="73"/>
      <c r="AY16" s="73"/>
    </row>
    <row r="17" ht="48.75" customHeight="1">
      <c r="A17" s="59"/>
      <c r="B17" s="76"/>
      <c r="C17" s="77"/>
      <c r="D17" s="78"/>
      <c r="E17" s="62"/>
      <c r="F17" s="62"/>
      <c r="G17" s="62"/>
      <c r="H17" s="79"/>
      <c r="I17" s="78"/>
      <c r="J17" s="78"/>
      <c r="K17" s="62"/>
      <c r="L17" s="62"/>
      <c r="M17" s="62"/>
      <c r="N17" s="79"/>
      <c r="O17" s="78"/>
      <c r="P17" s="78"/>
      <c r="Q17" s="62"/>
      <c r="R17" s="62"/>
      <c r="S17" s="62"/>
      <c r="T17" s="62"/>
      <c r="U17" s="79"/>
      <c r="V17" s="78"/>
      <c r="W17" s="78"/>
      <c r="X17" s="62"/>
      <c r="Y17" s="62"/>
      <c r="Z17" s="62"/>
      <c r="AA17" s="63"/>
      <c r="AB17" s="61"/>
      <c r="AC17" s="62"/>
      <c r="AD17" s="62"/>
      <c r="AE17" s="62"/>
      <c r="AF17" s="62"/>
      <c r="AG17" s="63"/>
      <c r="AN17" s="73"/>
      <c r="AO17" s="73"/>
      <c r="AP17" s="73"/>
      <c r="AQ17" s="73"/>
      <c r="AR17" s="73"/>
      <c r="AS17" s="73"/>
      <c r="AT17" s="73"/>
      <c r="AU17" s="73"/>
      <c r="AV17" s="73"/>
      <c r="AW17" s="73"/>
      <c r="AX17" s="73"/>
      <c r="AY17" s="73"/>
    </row>
    <row r="18">
      <c r="A18" s="6"/>
      <c r="B18" s="6"/>
      <c r="C18" s="6"/>
      <c r="D18" s="6"/>
      <c r="E18" s="6"/>
      <c r="F18" s="6"/>
      <c r="G18" s="6"/>
      <c r="H18" s="80"/>
      <c r="I18" s="6"/>
      <c r="J18" s="6"/>
      <c r="K18" s="6"/>
      <c r="L18" s="6"/>
      <c r="M18" s="6"/>
      <c r="N18" s="80"/>
      <c r="O18" s="6"/>
      <c r="P18" s="6"/>
      <c r="Q18" s="6"/>
      <c r="R18" s="6"/>
      <c r="S18" s="6"/>
      <c r="T18" s="6"/>
      <c r="U18" s="80"/>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row>
    <row r="19">
      <c r="A19" s="6"/>
      <c r="B19" s="6"/>
      <c r="C19" s="65" t="s">
        <v>44</v>
      </c>
      <c r="H19" s="37"/>
      <c r="I19" s="65"/>
      <c r="J19" s="65"/>
      <c r="K19" s="6"/>
      <c r="L19" s="6"/>
      <c r="M19" s="6"/>
      <c r="N19" s="80"/>
      <c r="O19" s="6"/>
      <c r="P19" s="6"/>
      <c r="Q19" s="6"/>
      <c r="R19" s="6"/>
      <c r="S19" s="6"/>
      <c r="T19" s="6"/>
      <c r="U19" s="80"/>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row>
    <row r="20">
      <c r="A20" s="6"/>
      <c r="B20" s="6"/>
      <c r="C20" s="6"/>
      <c r="D20" s="6"/>
      <c r="E20" s="6"/>
      <c r="F20" s="6"/>
      <c r="G20" s="6"/>
      <c r="H20" s="80"/>
      <c r="I20" s="6"/>
      <c r="J20" s="6"/>
      <c r="K20" s="6"/>
      <c r="L20" s="6"/>
      <c r="M20" s="6"/>
      <c r="N20" s="80"/>
      <c r="O20" s="6"/>
      <c r="P20" s="6"/>
      <c r="Q20" s="6"/>
      <c r="R20" s="6"/>
      <c r="S20" s="6"/>
      <c r="T20" s="6"/>
      <c r="U20" s="80"/>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row>
    <row r="21">
      <c r="A21" s="6"/>
      <c r="B21" s="6"/>
      <c r="C21" s="6"/>
      <c r="D21" s="6"/>
      <c r="E21" s="6"/>
      <c r="F21" s="6"/>
      <c r="G21" s="6"/>
      <c r="H21" s="80"/>
      <c r="I21" s="6"/>
      <c r="J21" s="6"/>
      <c r="K21" s="6"/>
      <c r="L21" s="6"/>
      <c r="M21" s="6"/>
      <c r="N21" s="80"/>
      <c r="O21" s="6"/>
      <c r="P21" s="6"/>
      <c r="Q21" s="6"/>
      <c r="R21" s="6"/>
      <c r="S21" s="6"/>
      <c r="T21" s="6"/>
      <c r="U21" s="80"/>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row>
    <row r="22">
      <c r="A22" s="6"/>
      <c r="B22" s="6"/>
      <c r="C22" s="6"/>
      <c r="D22" s="6"/>
      <c r="E22" s="6"/>
      <c r="F22" s="6"/>
      <c r="G22" s="6"/>
      <c r="H22" s="80"/>
      <c r="I22" s="6"/>
      <c r="J22" s="6"/>
      <c r="K22" s="6"/>
      <c r="L22" s="6"/>
      <c r="M22" s="6"/>
      <c r="N22" s="80"/>
      <c r="O22" s="6"/>
      <c r="P22" s="6"/>
      <c r="Q22" s="6"/>
      <c r="R22" s="6"/>
      <c r="S22" s="6"/>
      <c r="T22" s="6"/>
      <c r="U22" s="80"/>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row>
    <row r="23">
      <c r="A23" s="6"/>
      <c r="B23" s="6"/>
      <c r="C23" s="6"/>
      <c r="D23" s="6"/>
      <c r="E23" s="6"/>
      <c r="F23" s="6"/>
      <c r="G23" s="6"/>
      <c r="H23" s="80"/>
      <c r="I23" s="6"/>
      <c r="J23" s="6"/>
      <c r="K23" s="6"/>
      <c r="L23" s="6"/>
      <c r="M23" s="6"/>
      <c r="N23" s="80"/>
      <c r="O23" s="6"/>
      <c r="P23" s="6"/>
      <c r="Q23" s="6"/>
      <c r="R23" s="6"/>
      <c r="S23" s="6"/>
      <c r="T23" s="6"/>
      <c r="U23" s="80"/>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row>
    <row r="24">
      <c r="A24" s="6"/>
      <c r="B24" s="6"/>
      <c r="C24" s="6"/>
      <c r="D24" s="6"/>
      <c r="E24" s="6"/>
      <c r="F24" s="6"/>
      <c r="G24" s="6"/>
      <c r="H24" s="80"/>
      <c r="I24" s="6"/>
      <c r="J24" s="6"/>
      <c r="K24" s="6"/>
      <c r="L24" s="6"/>
      <c r="M24" s="6"/>
      <c r="N24" s="80"/>
      <c r="O24" s="6"/>
      <c r="P24" s="6"/>
      <c r="Q24" s="6"/>
      <c r="R24" s="6"/>
      <c r="S24" s="6"/>
      <c r="T24" s="6"/>
      <c r="U24" s="80"/>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row>
    <row r="25">
      <c r="A25" s="6"/>
      <c r="B25" s="6"/>
      <c r="C25" s="6"/>
      <c r="D25" s="6"/>
      <c r="E25" s="6"/>
      <c r="F25" s="6"/>
      <c r="G25" s="6"/>
      <c r="H25" s="80"/>
      <c r="I25" s="6"/>
      <c r="J25" s="6"/>
      <c r="K25" s="6"/>
      <c r="L25" s="6"/>
      <c r="M25" s="6"/>
      <c r="N25" s="80"/>
      <c r="O25" s="6"/>
      <c r="P25" s="6"/>
      <c r="Q25" s="6"/>
      <c r="R25" s="6"/>
      <c r="S25" s="6"/>
      <c r="T25" s="6"/>
      <c r="U25" s="80"/>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row>
    <row r="26">
      <c r="A26" s="6"/>
      <c r="B26" s="6"/>
      <c r="C26" s="6"/>
      <c r="D26" s="6"/>
      <c r="E26" s="6"/>
      <c r="F26" s="6"/>
      <c r="G26" s="6"/>
      <c r="H26" s="80"/>
      <c r="I26" s="6"/>
      <c r="J26" s="6"/>
      <c r="K26" s="6"/>
      <c r="L26" s="6"/>
      <c r="M26" s="6"/>
      <c r="N26" s="80"/>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row>
    <row r="27">
      <c r="A27" s="6"/>
      <c r="B27" s="6"/>
      <c r="C27" s="6"/>
      <c r="D27" s="6"/>
      <c r="E27" s="6"/>
      <c r="F27" s="6"/>
      <c r="G27" s="6"/>
      <c r="H27" s="80"/>
      <c r="I27" s="6"/>
      <c r="J27" s="6"/>
      <c r="K27" s="6"/>
      <c r="L27" s="6"/>
      <c r="M27" s="6"/>
      <c r="N27" s="80"/>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row>
    <row r="28">
      <c r="A28" s="6"/>
      <c r="B28" s="6"/>
      <c r="C28" s="6"/>
      <c r="D28" s="6"/>
      <c r="E28" s="6"/>
      <c r="F28" s="6"/>
      <c r="G28" s="6"/>
      <c r="H28" s="80"/>
      <c r="I28" s="6"/>
      <c r="J28" s="6"/>
      <c r="K28" s="6"/>
      <c r="L28" s="6"/>
      <c r="M28" s="6"/>
      <c r="N28" s="80"/>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row>
    <row r="29">
      <c r="A29" s="6"/>
      <c r="B29" s="6"/>
      <c r="C29" s="6"/>
      <c r="D29" s="6"/>
      <c r="E29" s="6"/>
      <c r="F29" s="6"/>
      <c r="G29" s="6"/>
      <c r="H29" s="80"/>
      <c r="I29" s="6"/>
      <c r="J29" s="6"/>
      <c r="K29" s="6"/>
      <c r="L29" s="6"/>
      <c r="M29" s="6"/>
      <c r="N29" s="80"/>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row>
    <row r="30">
      <c r="A30" s="6"/>
      <c r="B30" s="6"/>
      <c r="C30" s="6"/>
      <c r="D30" s="6"/>
      <c r="E30" s="6"/>
      <c r="F30" s="6"/>
      <c r="G30" s="6"/>
      <c r="H30" s="80"/>
      <c r="I30" s="6"/>
      <c r="J30" s="6"/>
      <c r="K30" s="6"/>
      <c r="L30" s="6"/>
      <c r="M30" s="6"/>
      <c r="N30" s="80"/>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row>
    <row r="31">
      <c r="A31" s="6"/>
      <c r="B31" s="6"/>
      <c r="C31" s="6"/>
      <c r="D31" s="6"/>
      <c r="E31" s="6"/>
      <c r="F31" s="6"/>
      <c r="G31" s="6"/>
      <c r="H31" s="80"/>
      <c r="I31" s="6"/>
      <c r="J31" s="6"/>
      <c r="K31" s="6"/>
      <c r="L31" s="6"/>
      <c r="M31" s="6"/>
      <c r="N31" s="80"/>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row>
    <row r="32">
      <c r="A32" s="6"/>
      <c r="B32" s="6"/>
      <c r="C32" s="6"/>
      <c r="D32" s="6"/>
      <c r="E32" s="6"/>
      <c r="F32" s="6"/>
      <c r="G32" s="6"/>
      <c r="H32" s="80"/>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row>
    <row r="33">
      <c r="A33" s="6"/>
      <c r="B33" s="6"/>
      <c r="C33" s="6"/>
      <c r="D33" s="6"/>
      <c r="E33" s="6"/>
      <c r="F33" s="6"/>
      <c r="G33" s="6"/>
      <c r="H33" s="80"/>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row>
    <row r="34">
      <c r="H34" s="81"/>
    </row>
    <row r="35">
      <c r="H35" s="82"/>
    </row>
    <row r="36">
      <c r="H36" s="82"/>
    </row>
  </sheetData>
  <mergeCells count="14">
    <mergeCell ref="C15:H17"/>
    <mergeCell ref="I15:N17"/>
    <mergeCell ref="C19:H19"/>
    <mergeCell ref="V15:AA17"/>
    <mergeCell ref="AB15:AG17"/>
    <mergeCell ref="AH15:AM17"/>
    <mergeCell ref="O15:U17"/>
    <mergeCell ref="A4:A5"/>
    <mergeCell ref="B4:B5"/>
    <mergeCell ref="C4:H4"/>
    <mergeCell ref="I4:N4"/>
    <mergeCell ref="V4:AA4"/>
    <mergeCell ref="A15:B17"/>
    <mergeCell ref="O4:U4"/>
  </mergeCells>
  <conditionalFormatting sqref="G1:H3 M1:N3 T1:U3 Z1:AY3 F6:F14 L6:L14 N6:N14 R6:R14 U6:U14 Y6:Y14 AA6:AY14">
    <cfRule type="colorScale" priority="1">
      <colorScale>
        <cfvo type="min"/>
        <cfvo type="percentile" val="50"/>
        <cfvo type="max"/>
        <color rgb="FFFCE8E6"/>
        <color rgb="FFFFF4CC"/>
        <color rgb="FFE6F4EA"/>
      </colorScale>
    </cfRule>
  </conditionalFormatting>
  <conditionalFormatting sqref="H6:H14 N6:N14 U6:U14 AA6:AY14">
    <cfRule type="colorScale" priority="2">
      <colorScale>
        <cfvo type="min"/>
        <cfvo type="percentile" val="50"/>
        <cfvo type="max"/>
        <color rgb="FFFCE8E6"/>
        <color rgb="FFFFF4CC"/>
        <color rgb="FFE6F4EA"/>
      </colorScale>
    </cfRule>
  </conditionalFormatting>
  <dataValidations>
    <dataValidation type="list" allowBlank="1" sqref="F6:F14 H6:H14 L6:L14 N6:N14 R6:R14 U6:U14 Y6:Y14 AA6:AA14 AE6:AE14 AG6:AY14">
      <formula1>"1,2,3,4,5"</formula1>
    </dataValidation>
    <dataValidation type="list" allowBlank="1" sqref="C6:C14 I6:I14 O6:O14 V6:V14 AB6:AB14">
      <formula1>"Có mặt,Vắng,Vắng Có phép,Đi muộn"</formula1>
    </dataValidation>
  </dataValidations>
  <drawing r:id="rId1"/>
  <tableParts count="3">
    <tablePart r:id="rId5"/>
    <tablePart r:id="rId6"/>
    <tablePart r:id="rId7"/>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16.38"/>
    <col customWidth="1" min="3" max="3" width="14.0"/>
    <col customWidth="1" min="4" max="5" width="13.0"/>
    <col customWidth="1" min="6" max="6" width="15.25"/>
    <col customWidth="1" min="7" max="7" width="77.5"/>
    <col customWidth="1" min="8" max="8" width="13.88"/>
    <col customWidth="1" min="9" max="26" width="8.63"/>
  </cols>
  <sheetData>
    <row r="1" ht="25.5" customHeight="1">
      <c r="A1" s="1" t="s">
        <v>0</v>
      </c>
    </row>
    <row r="3">
      <c r="A3" s="2" t="s">
        <v>1</v>
      </c>
      <c r="B3" s="3">
        <v>9.0</v>
      </c>
      <c r="C3" s="4" t="s">
        <v>2</v>
      </c>
      <c r="D3" s="5"/>
      <c r="E3" s="5"/>
      <c r="F3" s="2" t="s">
        <v>3</v>
      </c>
      <c r="G3" s="5"/>
      <c r="H3" s="2" t="s">
        <v>4</v>
      </c>
    </row>
    <row r="4">
      <c r="A4" s="2" t="s">
        <v>5</v>
      </c>
      <c r="B4" s="5">
        <f>COUNTA(B7:B29)</f>
        <v>21</v>
      </c>
      <c r="C4" s="2" t="s">
        <v>6</v>
      </c>
      <c r="D4" s="5"/>
      <c r="E4" s="5">
        <f>COUNTIF(C7:C29,"Có mặt")+COUNTIF(C7:C29,"Đi muộn")</f>
        <v>17</v>
      </c>
      <c r="F4" s="2" t="s">
        <v>7</v>
      </c>
      <c r="G4" s="5">
        <f>COUNTIF(C7:C29,"Vắng")+COUNTIF(C7:C29,"Có phép")</f>
        <v>0</v>
      </c>
      <c r="H4" s="5"/>
    </row>
    <row r="6" ht="31.5" customHeight="1">
      <c r="A6" s="8" t="s">
        <v>9</v>
      </c>
      <c r="B6" s="8" t="s">
        <v>10</v>
      </c>
      <c r="C6" s="8" t="s">
        <v>11</v>
      </c>
      <c r="D6" s="9" t="s">
        <v>12</v>
      </c>
      <c r="E6" s="8" t="s">
        <v>14</v>
      </c>
      <c r="F6" s="8" t="s">
        <v>15</v>
      </c>
      <c r="G6" s="9" t="s">
        <v>16</v>
      </c>
      <c r="H6" s="8" t="s">
        <v>17</v>
      </c>
    </row>
    <row r="7">
      <c r="A7" s="10">
        <v>1.0</v>
      </c>
      <c r="B7" s="12" t="str">
        <f>IFERROR(IF('[TrungTam_HungCuong_T8.xlsx]LOP_04'!$B$21="","",'[TrungTam_HungCuong_T8.xlsx]LOP_04'!$B$21),"Trường An")</f>
        <v>Trường An</v>
      </c>
      <c r="C7" s="14" t="s">
        <v>18</v>
      </c>
      <c r="D7" s="14">
        <v>2.0</v>
      </c>
      <c r="E7" s="10"/>
      <c r="F7" s="15">
        <v>4.0</v>
      </c>
      <c r="G7" s="16"/>
      <c r="H7" s="15">
        <v>3.0</v>
      </c>
    </row>
    <row r="8">
      <c r="A8" s="10">
        <v>2.0</v>
      </c>
      <c r="B8" s="17" t="str">
        <f>IFERROR(IF('[TrungTam_HungCuong_T8.xlsx]LOP_04'!$B$22="","",'[TrungTam_HungCuong_T8.xlsx]LOP_04'!$B$22),"Như Quỳnh")</f>
        <v>Như Quỳnh</v>
      </c>
      <c r="C8" s="19" t="s">
        <v>18</v>
      </c>
      <c r="D8" s="21"/>
      <c r="E8" s="10"/>
      <c r="F8" s="15">
        <v>4.0</v>
      </c>
      <c r="G8" s="16"/>
      <c r="H8" s="15">
        <v>5.0</v>
      </c>
    </row>
    <row r="9">
      <c r="A9" s="10">
        <v>3.0</v>
      </c>
      <c r="B9" s="12" t="str">
        <f>IFERROR(IF('[TrungTam_HungCuong_T8.xlsx]LOP_04'!$B$23="","",'[TrungTam_HungCuong_T8.xlsx]LOP_04'!$B$23),"Huy Đức")</f>
        <v>Huy Đức</v>
      </c>
      <c r="C9" s="14" t="s">
        <v>26</v>
      </c>
      <c r="D9" s="23"/>
      <c r="E9" s="10"/>
      <c r="F9" s="15"/>
      <c r="G9" s="16"/>
      <c r="H9" s="10"/>
    </row>
    <row r="10">
      <c r="A10" s="10">
        <v>4.0</v>
      </c>
      <c r="B10" s="17" t="str">
        <f>IFERROR(IF('[TrungTam_HungCuong_T8.xlsx]LOP_04'!$B$24="","",'[TrungTam_HungCuong_T8.xlsx]LOP_04'!$B$24),"Anh Trọng")</f>
        <v>Anh Trọng</v>
      </c>
      <c r="C10" s="19" t="s">
        <v>18</v>
      </c>
      <c r="D10" s="21"/>
      <c r="E10" s="10"/>
      <c r="F10" s="15">
        <v>4.0</v>
      </c>
      <c r="G10" s="16"/>
      <c r="H10" s="15">
        <v>5.0</v>
      </c>
    </row>
    <row r="11">
      <c r="A11" s="10">
        <v>5.0</v>
      </c>
      <c r="B11" s="12" t="str">
        <f>IFERROR(IF('[TrungTam_HungCuong_T8.xlsx]LOP_04'!$B$25="","",'[TrungTam_HungCuong_T8.xlsx]LOP_04'!$B$25),"Nguyễn Gia Bảo")</f>
        <v>Nguyễn Gia Bảo</v>
      </c>
      <c r="C11" s="14" t="s">
        <v>18</v>
      </c>
      <c r="D11" s="14">
        <v>3.0</v>
      </c>
      <c r="E11" s="10"/>
      <c r="F11" s="15">
        <v>4.0</v>
      </c>
      <c r="G11" s="16"/>
      <c r="H11" s="15">
        <v>3.0</v>
      </c>
    </row>
    <row r="12">
      <c r="A12" s="10">
        <v>6.0</v>
      </c>
      <c r="B12" s="17" t="str">
        <f>IFERROR(IF('[TrungTam_HungCuong_T8.xlsx]LOP_04'!$B$26="","",'[TrungTam_HungCuong_T8.xlsx]LOP_04'!$B$26),"Phạm Đức Hùng")</f>
        <v>Phạm Đức Hùng</v>
      </c>
      <c r="C12" s="19" t="s">
        <v>18</v>
      </c>
      <c r="D12" s="21"/>
      <c r="E12" s="10"/>
      <c r="F12" s="15">
        <v>3.0</v>
      </c>
      <c r="G12" s="16"/>
      <c r="H12" s="15">
        <v>2.0</v>
      </c>
    </row>
    <row r="13">
      <c r="A13" s="10">
        <v>7.0</v>
      </c>
      <c r="B13" s="12" t="str">
        <f>IFERROR(IF('[TrungTam_HungCuong_T8.xlsx]LOP_04'!$B$27="","",'[TrungTam_HungCuong_T8.xlsx]LOP_04'!$B$27),"Quân")</f>
        <v>Quân</v>
      </c>
      <c r="C13" s="14" t="s">
        <v>18</v>
      </c>
      <c r="D13" s="23"/>
      <c r="E13" s="10"/>
      <c r="F13" s="15">
        <v>4.0</v>
      </c>
      <c r="G13" s="16"/>
      <c r="H13" s="15">
        <v>5.0</v>
      </c>
    </row>
    <row r="14">
      <c r="A14" s="10">
        <v>8.0</v>
      </c>
      <c r="B14" s="17" t="str">
        <f>IFERROR(IF('[TrungTam_HungCuong_T8.xlsx]LOP_04'!$B$29="","",'[TrungTam_HungCuong_T8.xlsx]LOP_04'!$B$29),"Phương Nhi")</f>
        <v>Phương Nhi</v>
      </c>
      <c r="C14" s="19" t="s">
        <v>18</v>
      </c>
      <c r="D14" s="19">
        <v>1.0</v>
      </c>
      <c r="E14" s="10"/>
      <c r="F14" s="15">
        <v>4.0</v>
      </c>
      <c r="G14" s="16"/>
      <c r="H14" s="15">
        <v>5.0</v>
      </c>
    </row>
    <row r="15">
      <c r="A15" s="10">
        <v>9.0</v>
      </c>
      <c r="B15" s="12" t="str">
        <f>IFERROR(IF('[TrungTam_HungCuong_T8.xlsx]LOP_04'!$B$30="","",'[TrungTam_HungCuong_T8.xlsx]LOP_04'!$B$30),"Lê Bảo Châm")</f>
        <v>Lê Bảo Châm</v>
      </c>
      <c r="C15" s="14" t="s">
        <v>18</v>
      </c>
      <c r="D15" s="14">
        <v>3.0</v>
      </c>
      <c r="E15" s="10"/>
      <c r="F15" s="15">
        <v>4.0</v>
      </c>
      <c r="G15" s="16"/>
      <c r="H15" s="15">
        <v>5.0</v>
      </c>
    </row>
    <row r="16">
      <c r="A16" s="29" t="s">
        <v>27</v>
      </c>
    </row>
    <row r="17">
      <c r="A17" s="2" t="s">
        <v>1</v>
      </c>
      <c r="B17" s="18">
        <v>9.0</v>
      </c>
      <c r="C17" s="20" t="s">
        <v>21</v>
      </c>
      <c r="D17" s="22"/>
      <c r="E17" s="5"/>
      <c r="F17" s="2" t="s">
        <v>3</v>
      </c>
      <c r="G17" s="13" t="s">
        <v>13</v>
      </c>
      <c r="H17" s="31" t="s">
        <v>28</v>
      </c>
    </row>
    <row r="18">
      <c r="A18" s="2" t="s">
        <v>5</v>
      </c>
      <c r="B18" s="27">
        <f>COUNTA(B21:B43)</f>
        <v>9</v>
      </c>
      <c r="C18" s="28" t="s">
        <v>6</v>
      </c>
      <c r="D18" s="32"/>
      <c r="E18" s="25">
        <f>COUNTIF(C21:C43,"Có mặt")+COUNTIF(C21:C43,"Đi muộn")</f>
        <v>9</v>
      </c>
      <c r="F18" s="2" t="s">
        <v>7</v>
      </c>
      <c r="G18" s="25">
        <f>COUNTIF(C21:C43,"Vắng")+COUNTIF(C21:C43,"Có phép")</f>
        <v>0</v>
      </c>
      <c r="H18" s="5"/>
    </row>
    <row r="20" ht="15.75" customHeight="1">
      <c r="A20" s="8" t="s">
        <v>9</v>
      </c>
      <c r="B20" s="8" t="s">
        <v>10</v>
      </c>
      <c r="C20" s="8" t="s">
        <v>11</v>
      </c>
      <c r="D20" s="9" t="s">
        <v>12</v>
      </c>
      <c r="E20" s="8" t="s">
        <v>14</v>
      </c>
      <c r="F20" s="8" t="s">
        <v>15</v>
      </c>
      <c r="G20" s="9" t="s">
        <v>16</v>
      </c>
      <c r="H20" s="8" t="s">
        <v>17</v>
      </c>
    </row>
    <row r="21">
      <c r="A21" s="34">
        <v>1.0</v>
      </c>
      <c r="B21" s="35" t="str">
        <f>IFERROR(IF('[TrungTam_HungCuong_T8.xlsx]LOP_04'!$B$21="","",'[TrungTam_HungCuong_T8.xlsx]LOP_04'!$B$21),"Trường An")</f>
        <v>Trường An</v>
      </c>
      <c r="C21" s="14" t="s">
        <v>18</v>
      </c>
      <c r="D21" s="14">
        <v>1.0</v>
      </c>
      <c r="E21" s="10"/>
      <c r="F21" s="15">
        <v>4.0</v>
      </c>
      <c r="G21" s="38" t="s">
        <v>30</v>
      </c>
      <c r="H21" s="15">
        <v>3.0</v>
      </c>
    </row>
    <row r="22">
      <c r="A22" s="34">
        <v>2.0</v>
      </c>
      <c r="B22" s="40" t="str">
        <f>IFERROR(IF('[TrungTam_HungCuong_T8.xlsx]LOP_04'!$B$22="","",'[TrungTam_HungCuong_T8.xlsx]LOP_04'!$B$22),"Như Quỳnh")</f>
        <v>Như Quỳnh</v>
      </c>
      <c r="C22" s="19" t="s">
        <v>18</v>
      </c>
      <c r="D22" s="19">
        <v>1.0</v>
      </c>
      <c r="E22" s="10"/>
      <c r="F22" s="15">
        <v>4.0</v>
      </c>
      <c r="G22" s="38" t="s">
        <v>32</v>
      </c>
      <c r="H22" s="15">
        <v>5.0</v>
      </c>
    </row>
    <row r="23">
      <c r="A23" s="34">
        <v>3.0</v>
      </c>
      <c r="B23" s="35" t="str">
        <f>IFERROR(IF('[TrungTam_HungCuong_T8.xlsx]LOP_04'!$B$23="","",'[TrungTam_HungCuong_T8.xlsx]LOP_04'!$B$23),"Huy Đức")</f>
        <v>Huy Đức</v>
      </c>
      <c r="C23" s="14" t="s">
        <v>18</v>
      </c>
      <c r="D23" s="14">
        <v>3.0</v>
      </c>
      <c r="E23" s="10"/>
      <c r="F23" s="15">
        <v>4.0</v>
      </c>
      <c r="G23" s="38" t="s">
        <v>33</v>
      </c>
      <c r="H23" s="15">
        <v>3.0</v>
      </c>
    </row>
    <row r="24">
      <c r="A24" s="34">
        <v>4.0</v>
      </c>
      <c r="B24" s="40" t="str">
        <f>IFERROR(IF('[TrungTam_HungCuong_T8.xlsx]LOP_04'!$B$24="","",'[TrungTam_HungCuong_T8.xlsx]LOP_04'!$B$24),"Anh Trọng")</f>
        <v>Anh Trọng</v>
      </c>
      <c r="C24" s="19" t="s">
        <v>18</v>
      </c>
      <c r="D24" s="19">
        <v>1.0</v>
      </c>
      <c r="E24" s="10"/>
      <c r="F24" s="15">
        <v>4.0</v>
      </c>
      <c r="G24" s="38" t="s">
        <v>36</v>
      </c>
      <c r="H24" s="15">
        <v>4.0</v>
      </c>
    </row>
    <row r="25">
      <c r="A25" s="34">
        <v>5.0</v>
      </c>
      <c r="B25" s="35" t="str">
        <f>IFERROR(IF('[TrungTam_HungCuong_T8.xlsx]LOP_04'!$B$25="","",'[TrungTam_HungCuong_T8.xlsx]LOP_04'!$B$25),"Nguyễn Gia Bảo")</f>
        <v>Nguyễn Gia Bảo</v>
      </c>
      <c r="C25" s="14" t="s">
        <v>18</v>
      </c>
      <c r="D25" s="14">
        <v>4.0</v>
      </c>
      <c r="E25" s="10"/>
      <c r="F25" s="15">
        <v>5.0</v>
      </c>
      <c r="G25" s="38" t="s">
        <v>37</v>
      </c>
      <c r="H25" s="15">
        <v>4.0</v>
      </c>
    </row>
    <row r="26">
      <c r="A26" s="10">
        <v>6.0</v>
      </c>
      <c r="B26" s="40" t="str">
        <f>IFERROR(IF('[TrungTam_HungCuong_T8.xlsx]LOP_04'!$B$26="","",'[TrungTam_HungCuong_T8.xlsx]LOP_04'!$B$26),"Phạm Đức Hùng")</f>
        <v>Phạm Đức Hùng</v>
      </c>
      <c r="C26" s="19" t="s">
        <v>18</v>
      </c>
      <c r="D26" s="19">
        <v>3.0</v>
      </c>
      <c r="E26" s="10"/>
      <c r="F26" s="15">
        <v>3.0</v>
      </c>
      <c r="G26" s="38" t="s">
        <v>38</v>
      </c>
      <c r="H26" s="15">
        <v>2.0</v>
      </c>
    </row>
    <row r="27">
      <c r="A27" s="34">
        <v>7.0</v>
      </c>
      <c r="B27" s="35" t="str">
        <f>IFERROR(IF('[TrungTam_HungCuong_T8.xlsx]LOP_04'!$B$27="","",'[TrungTam_HungCuong_T8.xlsx]LOP_04'!$B$27),"Quân")</f>
        <v>Quân</v>
      </c>
      <c r="C27" s="14" t="s">
        <v>18</v>
      </c>
      <c r="D27" s="14">
        <v>3.0</v>
      </c>
      <c r="E27" s="10"/>
      <c r="F27" s="15">
        <v>4.0</v>
      </c>
      <c r="G27" s="38" t="s">
        <v>39</v>
      </c>
      <c r="H27" s="15">
        <v>5.0</v>
      </c>
    </row>
    <row r="28">
      <c r="A28" s="45">
        <v>8.0</v>
      </c>
      <c r="B28" s="40" t="str">
        <f>IFERROR(IF('[TrungTam_HungCuong_T8.xlsx]LOP_04'!$B$29="","",'[TrungTam_HungCuong_T8.xlsx]LOP_04'!$B$29),"Phương Nhi")</f>
        <v>Phương Nhi</v>
      </c>
      <c r="C28" s="19" t="s">
        <v>18</v>
      </c>
      <c r="D28" s="19">
        <v>1.0</v>
      </c>
      <c r="E28" s="10"/>
      <c r="F28" s="15">
        <v>4.0</v>
      </c>
      <c r="G28" s="38" t="s">
        <v>40</v>
      </c>
      <c r="H28" s="15">
        <v>5.0</v>
      </c>
    </row>
    <row r="29">
      <c r="A29" s="34">
        <v>9.0</v>
      </c>
      <c r="B29" s="35" t="str">
        <f>IFERROR(IF('[TrungTam_HungCuong_T8.xlsx]LOP_04'!$B$30="","",'[TrungTam_HungCuong_T8.xlsx]LOP_04'!$B$30),"Lê Bảo Châm")</f>
        <v>Lê Bảo Châm</v>
      </c>
      <c r="C29" s="14" t="s">
        <v>18</v>
      </c>
      <c r="D29" s="14">
        <v>4.0</v>
      </c>
      <c r="E29" s="10"/>
      <c r="F29" s="15">
        <v>5.0</v>
      </c>
      <c r="G29" s="38" t="s">
        <v>41</v>
      </c>
      <c r="H29" s="15">
        <v>5.0</v>
      </c>
    </row>
    <row r="30" ht="24.0" customHeight="1">
      <c r="A30" s="47" t="s">
        <v>42</v>
      </c>
      <c r="B30" s="48"/>
      <c r="C30" s="49" t="s">
        <v>43</v>
      </c>
      <c r="D30" s="51"/>
      <c r="E30" s="53"/>
      <c r="F30" s="53"/>
      <c r="G30" s="53"/>
      <c r="H30" s="54"/>
    </row>
    <row r="31" ht="24.0" customHeight="1">
      <c r="A31" s="55"/>
      <c r="B31" s="56"/>
      <c r="C31" s="57"/>
      <c r="H31" s="58"/>
    </row>
    <row r="32" ht="24.0" customHeight="1">
      <c r="A32" s="59"/>
      <c r="B32" s="60"/>
      <c r="C32" s="61"/>
      <c r="D32" s="62"/>
      <c r="E32" s="62"/>
      <c r="F32" s="62"/>
      <c r="G32" s="62"/>
      <c r="H32" s="63"/>
    </row>
    <row r="33" ht="15.75" customHeight="1">
      <c r="F33" s="64"/>
      <c r="G33" s="64"/>
      <c r="H33" s="64"/>
    </row>
    <row r="34" ht="24.0" customHeight="1">
      <c r="A34" s="65" t="s">
        <v>44</v>
      </c>
    </row>
    <row r="35" ht="15.75" customHeight="1"/>
    <row r="36" ht="15.75" customHeight="1">
      <c r="G36" s="66"/>
    </row>
    <row r="37" ht="15.75" customHeight="1"/>
    <row r="38" ht="15.75" customHeight="1">
      <c r="G38" s="67"/>
    </row>
    <row r="39" ht="15.75" customHeight="1"/>
    <row r="40" ht="15.75" customHeight="1"/>
    <row r="41" ht="15.75" customHeight="1">
      <c r="F41" s="67"/>
    </row>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5">
    <mergeCell ref="A1:H1"/>
    <mergeCell ref="A16:I16"/>
    <mergeCell ref="A30:B32"/>
    <mergeCell ref="C30:H32"/>
    <mergeCell ref="A34:H34"/>
  </mergeCells>
  <conditionalFormatting sqref="F7:F15 F17:F29">
    <cfRule type="colorScale" priority="1">
      <colorScale>
        <cfvo type="min"/>
        <cfvo type="percentile" val="50"/>
        <cfvo type="max"/>
        <color rgb="FFFCE8E6"/>
        <color rgb="FFFFF4CC"/>
        <color rgb="FFE6F4EA"/>
      </colorScale>
    </cfRule>
  </conditionalFormatting>
  <conditionalFormatting sqref="H7:H15 H17:H29">
    <cfRule type="colorScale" priority="2">
      <colorScale>
        <cfvo type="min"/>
        <cfvo type="percentile" val="50"/>
        <cfvo type="max"/>
        <color rgb="FFFCE8E6"/>
        <color rgb="FFFFF4CC"/>
        <color rgb="FFE6F4EA"/>
      </colorScale>
    </cfRule>
  </conditionalFormatting>
  <dataValidations>
    <dataValidation type="list" allowBlank="1" sqref="F7:F15 H7:H15 F21:F29 H21:H29">
      <formula1>"1,2,3,4,5"</formula1>
    </dataValidation>
    <dataValidation type="list" allowBlank="1" sqref="C7:C15 C21:C29">
      <formula1>"Có mặt,Vắng,Vắng Có phép,Đi muộn"</formula1>
    </dataValidation>
  </dataValidations>
  <printOptions/>
  <pageMargins bottom="0.75" footer="0.0" header="0.0" left="0.7" right="0.7" top="0.75"/>
  <pageSetup orientation="landscape"/>
  <drawing r:id="rId1"/>
</worksheet>
</file>