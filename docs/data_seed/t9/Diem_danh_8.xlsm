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Form đánh giá" sheetId="1" r:id="rId4"/>
  </sheets>
  <definedNames/>
  <calcPr/>
  <extLst>
    <ext uri="GoogleSheetsCustomDataVersion2">
      <go:sheetsCustomData xmlns:go="http://customooxmlschemas.google.com/" r:id="rId5" roundtripDataChecksum="ZU+65R/y9OvcTw0yTwqbqWQsrDj4aJeMKaLEr801g1I="/>
    </ext>
  </extLst>
</workbook>
</file>

<file path=xl/sharedStrings.xml><?xml version="1.0" encoding="utf-8"?>
<sst xmlns="http://schemas.openxmlformats.org/spreadsheetml/2006/main" count="18" uniqueCount="18">
  <si>
    <t>FORM ĐÁNH GIÁ LỚP HỌC</t>
  </si>
  <si>
    <t>Lớp:</t>
  </si>
  <si>
    <t>Ngày:</t>
  </si>
  <si>
    <t>Giáo viên:</t>
  </si>
  <si>
    <t>Bài học:</t>
  </si>
  <si>
    <t>Sĩ số:</t>
  </si>
  <si>
    <t>Có mặt:</t>
  </si>
  <si>
    <t>Vắng:</t>
  </si>
  <si>
    <t>STT</t>
  </si>
  <si>
    <t>Họ và tên học sinh</t>
  </si>
  <si>
    <t>Điểm danh</t>
  </si>
  <si>
    <t>Điểm BTVN</t>
  </si>
  <si>
    <t>Mức độ hiểu bài (1-5)</t>
  </si>
  <si>
    <t>Lỗ hổng / Phần chưa hiểu</t>
  </si>
  <si>
    <t>Thái độ học tập (1-5)</t>
  </si>
  <si>
    <t>Hướng xử lý / Ghi chú</t>
  </si>
  <si>
    <t>Nhận xét buổi học:</t>
  </si>
  <si>
    <t>Thang điểm 1–5: 1 = rất yếu/chưa tốt; 3 = đạt; 5 = nắm bài rất tốt/thái độ rất tốt.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</si>
</sst>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8">
    <font>
      <sz val="11.0"/>
      <color rgb="FF000000"/>
      <name val="Carlito"/>
      <scheme val="minor"/>
    </font>
    <font>
      <b/>
      <sz val="14.0"/>
      <color theme="1"/>
      <name val="Carlito"/>
    </font>
    <font>
      <b/>
      <sz val="11.0"/>
      <color theme="1"/>
      <name val="Carlito"/>
    </font>
    <font>
      <sz val="11.0"/>
      <color theme="1"/>
      <name val="Carlito"/>
    </font>
    <font>
      <sz val="11.0"/>
      <color rgb="FF434343"/>
      <name val="Carlito"/>
    </font>
    <font>
      <b/>
      <i/>
      <sz val="9.0"/>
      <color theme="1"/>
      <name val="Carlito"/>
    </font>
    <font/>
    <font>
      <i/>
      <sz val="9.0"/>
      <color theme="1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E2E8F0"/>
        <bgColor rgb="FFE2E8F0"/>
      </patternFill>
    </fill>
    <fill>
      <patternFill patternType="solid">
        <fgColor rgb="FFF6F8F9"/>
        <bgColor rgb="FFF6F8F9"/>
      </patternFill>
    </fill>
    <fill>
      <patternFill patternType="solid">
        <fgColor rgb="FFFFFFFF"/>
        <bgColor rgb="FFFFFFFF"/>
      </patternFill>
    </fill>
  </fills>
  <borders count="17">
    <border/>
    <border>
      <left style="thin">
        <color rgb="FFF6F8F9"/>
      </left>
      <right style="thin">
        <color rgb="FFF6F8F9"/>
      </right>
      <top style="thin">
        <color rgb="FFF6F8F9"/>
      </top>
      <bottom style="thin">
        <color rgb="FFF6F8F9"/>
      </bottom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  <border>
      <left style="thin">
        <color rgb="FFB7B7B7"/>
      </left>
      <top style="thin">
        <color rgb="FFB7B7B7"/>
      </top>
    </border>
    <border>
      <right style="thin">
        <color rgb="FFD9D9D9"/>
      </right>
      <top style="thin">
        <color rgb="FFB7B7B7"/>
      </top>
    </border>
    <border>
      <left style="thin">
        <color rgb="FFD9D9D9"/>
      </left>
      <top style="thin">
        <color rgb="FFB7B7B7"/>
      </top>
    </border>
    <border>
      <top style="thin">
        <color rgb="FFB7B7B7"/>
      </top>
    </border>
    <border>
      <right style="thin">
        <color rgb="FFB7B7B7"/>
      </right>
      <top style="thin">
        <color rgb="FFB7B7B7"/>
      </top>
    </border>
    <border>
      <left style="thin">
        <color rgb="FFB7B7B7"/>
      </left>
    </border>
    <border>
      <right style="thin">
        <color rgb="FFD9D9D9"/>
      </right>
    </border>
    <border>
      <left style="thin">
        <color rgb="FFD9D9D9"/>
      </left>
    </border>
    <border>
      <right style="thin">
        <color rgb="FFB7B7B7"/>
      </right>
    </border>
    <border>
      <left style="thin">
        <color rgb="FFB7B7B7"/>
      </left>
      <bottom style="thin">
        <color rgb="FFB7B7B7"/>
      </bottom>
    </border>
    <border>
      <right style="thin">
        <color rgb="FFD9D9D9"/>
      </right>
      <bottom style="thin">
        <color rgb="FFB7B7B7"/>
      </bottom>
    </border>
    <border>
      <left style="thin">
        <color rgb="FFD9D9D9"/>
      </left>
      <bottom style="thin">
        <color rgb="FFB7B7B7"/>
      </bottom>
    </border>
    <border>
      <bottom style="thin">
        <color rgb="FFB7B7B7"/>
      </bottom>
    </border>
    <border>
      <right style="thin">
        <color rgb="FFB7B7B7"/>
      </right>
      <bottom style="thin">
        <color rgb="FFB7B7B7"/>
      </bottom>
    </border>
  </borders>
  <cellStyleXfs count="1">
    <xf borderId="0" fillId="0" fontId="0" numFmtId="0" applyAlignment="1" applyFont="1"/>
  </cellStyleXfs>
  <cellXfs count="2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vertical="center"/>
    </xf>
    <xf borderId="0" fillId="0" fontId="3" numFmtId="0" xfId="0" applyAlignment="1" applyFont="1">
      <alignment vertical="center"/>
    </xf>
    <xf borderId="0" fillId="2" fontId="2" numFmtId="0" xfId="0" applyAlignment="1" applyFill="1" applyFont="1">
      <alignment horizontal="center" shrinkToFit="0" vertical="center" wrapText="1"/>
    </xf>
    <xf borderId="0" fillId="0" fontId="3" numFmtId="0" xfId="0" applyAlignment="1" applyFont="1">
      <alignment horizontal="center" shrinkToFit="0" vertical="center" wrapText="1"/>
    </xf>
    <xf borderId="0" fillId="0" fontId="3" numFmtId="0" xfId="0" applyAlignment="1" applyFont="1">
      <alignment vertical="bottom"/>
    </xf>
    <xf borderId="0" fillId="0" fontId="3" numFmtId="0" xfId="0" applyAlignment="1" applyFont="1">
      <alignment shrinkToFit="0" vertical="center" wrapText="1"/>
    </xf>
    <xf borderId="0" fillId="0" fontId="3" numFmtId="0" xfId="0" applyAlignment="1" applyFont="1">
      <alignment vertical="bottom"/>
    </xf>
    <xf borderId="1" fillId="3" fontId="4" numFmtId="0" xfId="0" applyAlignment="1" applyBorder="1" applyFill="1" applyFont="1">
      <alignment shrinkToFit="0" vertical="bottom" wrapText="0"/>
    </xf>
    <xf borderId="2" fillId="4" fontId="4" numFmtId="0" xfId="0" applyAlignment="1" applyBorder="1" applyFill="1" applyFont="1">
      <alignment shrinkToFit="0" vertical="bottom" wrapText="0"/>
    </xf>
    <xf borderId="0" fillId="0" fontId="3" numFmtId="0" xfId="0" applyAlignment="1" applyFont="1">
      <alignment shrinkToFit="0" wrapText="1"/>
    </xf>
    <xf borderId="3" fillId="0" fontId="5" numFmtId="0" xfId="0" applyAlignment="1" applyBorder="1" applyFont="1">
      <alignment horizontal="left" shrinkToFit="0" vertical="top" wrapText="1"/>
    </xf>
    <xf borderId="4" fillId="0" fontId="6" numFmtId="0" xfId="0" applyBorder="1" applyFont="1"/>
    <xf borderId="5" fillId="0" fontId="7" numFmtId="0" xfId="0" applyAlignment="1" applyBorder="1" applyFont="1">
      <alignment horizontal="left" shrinkToFit="0" vertical="top" wrapText="1"/>
    </xf>
    <xf borderId="6" fillId="0" fontId="6" numFmtId="0" xfId="0" applyBorder="1" applyFont="1"/>
    <xf borderId="7" fillId="0" fontId="6" numFmtId="0" xfId="0" applyBorder="1" applyFont="1"/>
    <xf borderId="8" fillId="0" fontId="6" numFmtId="0" xfId="0" applyBorder="1" applyFont="1"/>
    <xf borderId="9" fillId="0" fontId="6" numFmtId="0" xfId="0" applyBorder="1" applyFont="1"/>
    <xf borderId="10" fillId="0" fontId="6" numFmtId="0" xfId="0" applyBorder="1" applyFont="1"/>
    <xf borderId="11" fillId="0" fontId="6" numFmtId="0" xfId="0" applyBorder="1" applyFont="1"/>
    <xf borderId="12" fillId="0" fontId="6" numFmtId="0" xfId="0" applyBorder="1" applyFont="1"/>
    <xf borderId="13" fillId="0" fontId="6" numFmtId="0" xfId="0" applyBorder="1" applyFont="1"/>
    <xf borderId="14" fillId="0" fontId="6" numFmtId="0" xfId="0" applyBorder="1" applyFont="1"/>
    <xf borderId="15" fillId="0" fontId="6" numFmtId="0" xfId="0" applyBorder="1" applyFont="1"/>
    <xf borderId="16" fillId="0" fontId="6" numFmtId="0" xfId="0" applyBorder="1" applyFont="1"/>
    <xf borderId="0" fillId="0" fontId="7" numFmtId="0" xfId="0" applyAlignment="1" applyFont="1">
      <alignment shrinkToFit="0" vertical="center" wrapText="1"/>
    </xf>
  </cellXfs>
  <cellStyles count="1">
    <cellStyle xfId="0" name="Normal" builtinId="0"/>
  </cellStyles>
  <dxfs count="3">
    <dxf>
      <font/>
      <fill>
        <patternFill patternType="none"/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6F8F9"/>
          <bgColor rgb="FFF6F8F9"/>
        </patternFill>
      </fill>
      <border/>
    </dxf>
  </dxfs>
  <tableStyles count="1">
    <tableStyle count="2" pivot="0" name="Form đánh giá-style">
      <tableStyleElement dxfId="1" type="firstRowStripe"/>
      <tableStyleElement dxfId="2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headerRowCount="0" ref="B7:B18" displayName="Table_1" name="Table_1" id="1">
  <tableColumns count="1">
    <tableColumn name="Column1" id="1"/>
  </tableColumns>
  <tableStyleInfo name="Form đánh giá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2" width="28.0"/>
    <col customWidth="1" min="3" max="3" width="14.0"/>
    <col customWidth="1" min="4" max="4" width="13.0"/>
    <col customWidth="1" min="5" max="5" width="19.0"/>
    <col customWidth="1" min="6" max="6" width="30.0"/>
    <col customWidth="1" min="7" max="7" width="19.0"/>
    <col customWidth="1" min="8" max="8" width="28.0"/>
    <col customWidth="1" min="9" max="26" width="8.63"/>
  </cols>
  <sheetData>
    <row r="1" ht="25.5" customHeight="1">
      <c r="A1" s="1" t="s">
        <v>0</v>
      </c>
    </row>
    <row r="3">
      <c r="A3" s="2" t="s">
        <v>1</v>
      </c>
      <c r="B3" s="3"/>
      <c r="C3" s="2" t="s">
        <v>2</v>
      </c>
      <c r="D3" s="3"/>
      <c r="E3" s="2" t="s">
        <v>3</v>
      </c>
      <c r="F3" s="3"/>
      <c r="G3" s="2" t="s">
        <v>4</v>
      </c>
      <c r="H3" s="3"/>
    </row>
    <row r="4">
      <c r="A4" s="2" t="s">
        <v>5</v>
      </c>
      <c r="B4" s="3">
        <f>COUNTA(B7:B36)</f>
        <v>7</v>
      </c>
      <c r="C4" s="2" t="s">
        <v>6</v>
      </c>
      <c r="D4" s="3">
        <f>COUNTIF(C7:C36,"Có mặt")+COUNTIF(C7:C36,"Đi muộn")</f>
        <v>0</v>
      </c>
      <c r="E4" s="2" t="s">
        <v>7</v>
      </c>
      <c r="F4" s="3">
        <f>COUNTIF(C7:C36,"Vắng")+COUNTIF(C7:C36,"Có phép")</f>
        <v>0</v>
      </c>
      <c r="G4" s="3"/>
      <c r="H4" s="3"/>
    </row>
    <row r="6" ht="31.5" customHeight="1">
      <c r="A6" s="4" t="s">
        <v>8</v>
      </c>
      <c r="B6" s="4" t="s">
        <v>9</v>
      </c>
      <c r="C6" s="4" t="s">
        <v>10</v>
      </c>
      <c r="D6" s="4" t="s">
        <v>11</v>
      </c>
      <c r="E6" s="4" t="s">
        <v>12</v>
      </c>
      <c r="F6" s="4" t="s">
        <v>13</v>
      </c>
      <c r="G6" s="4" t="s">
        <v>14</v>
      </c>
      <c r="H6" s="4" t="s">
        <v>15</v>
      </c>
    </row>
    <row r="7">
      <c r="A7" s="5">
        <v>1.0</v>
      </c>
      <c r="B7" s="6" t="str">
        <f>IFERROR(IF('[TrungTam_HungCuong_T8.xlsx]LOP_03'!$B$21="","",'[TrungTam_HungCuong_T8.xlsx]LOP_03'!$B$21),"Minh Thư")</f>
        <v>Minh Thư</v>
      </c>
      <c r="C7" s="5"/>
      <c r="D7" s="5"/>
      <c r="E7" s="5"/>
      <c r="F7" s="7"/>
      <c r="G7" s="5"/>
      <c r="H7" s="7"/>
    </row>
    <row r="8">
      <c r="A8" s="5">
        <v>2.0</v>
      </c>
      <c r="B8" s="8" t="str">
        <f>IFERROR(IF('[TrungTam_HungCuong_T8.xlsx]LOP_03'!$B$22="","",'[TrungTam_HungCuong_T8.xlsx]LOP_03'!$B$22),"Nguyễn Đình Phát")</f>
        <v>Nguyễn Đình Phát</v>
      </c>
      <c r="C8" s="5"/>
      <c r="D8" s="5"/>
      <c r="E8" s="5"/>
      <c r="F8" s="7"/>
      <c r="G8" s="5"/>
      <c r="H8" s="7"/>
    </row>
    <row r="9">
      <c r="A9" s="5">
        <v>3.0</v>
      </c>
      <c r="B9" s="8" t="str">
        <f>IFERROR(IF('[TrungTam_HungCuong_T8.xlsx]LOP_03'!$B$23="","",'[TrungTam_HungCuong_T8.xlsx]LOP_03'!$B$23),"Đỗ Thị Mai Ngọc")</f>
        <v>Đỗ Thị Mai Ngọc</v>
      </c>
      <c r="C9" s="5"/>
      <c r="D9" s="5"/>
      <c r="E9" s="5"/>
      <c r="F9" s="7"/>
      <c r="G9" s="5"/>
      <c r="H9" s="7"/>
    </row>
    <row r="10">
      <c r="A10" s="5">
        <v>4.0</v>
      </c>
      <c r="B10" s="8" t="str">
        <f>IFERROR(IF('[TrungTam_HungCuong_T8.xlsx]LOP_03'!$B$24="","",'[TrungTam_HungCuong_T8.xlsx]LOP_03'!$B$24),"Bùi Hiền Nhi")</f>
        <v>Bùi Hiền Nhi</v>
      </c>
      <c r="C10" s="5"/>
      <c r="D10" s="5"/>
      <c r="E10" s="5"/>
      <c r="F10" s="7"/>
      <c r="G10" s="5"/>
      <c r="H10" s="7"/>
    </row>
    <row r="11">
      <c r="A11" s="5">
        <v>5.0</v>
      </c>
      <c r="B11" s="8" t="str">
        <f>IFERROR(IF('[TrungTam_HungCuong_T8.xlsx]LOP_03'!$B$25="","",'[TrungTam_HungCuong_T8.xlsx]LOP_03'!$B$25),"Nguyễn Đặng Gia Hân")</f>
        <v>Nguyễn Đặng Gia Hân</v>
      </c>
      <c r="C11" s="5"/>
      <c r="D11" s="5"/>
      <c r="E11" s="5"/>
      <c r="F11" s="7"/>
      <c r="G11" s="5"/>
      <c r="H11" s="7"/>
    </row>
    <row r="12">
      <c r="A12" s="5">
        <v>6.0</v>
      </c>
      <c r="B12" s="8" t="str">
        <f>IFERROR(IF('[TrungTam_HungCuong_T8.xlsx]LOP_03'!$B$26="","",'[TrungTam_HungCuong_T8.xlsx]LOP_03'!$B$26),"Đào Ngọc Khánh")</f>
        <v>Đào Ngọc Khánh</v>
      </c>
      <c r="C12" s="5"/>
      <c r="D12" s="5"/>
      <c r="E12" s="5"/>
      <c r="F12" s="7"/>
      <c r="G12" s="5"/>
      <c r="H12" s="7"/>
    </row>
    <row r="13">
      <c r="A13" s="5">
        <v>7.0</v>
      </c>
      <c r="B13" s="8" t="str">
        <f>IFERROR(IF('[TrungTam_HungCuong_T8.xlsx]LOP_03'!$B$27="","",'[TrungTam_HungCuong_T8.xlsx]LOP_03'!$B$27),"Nhân")</f>
        <v>Nhân</v>
      </c>
      <c r="C13" s="5"/>
      <c r="D13" s="5"/>
      <c r="E13" s="5"/>
      <c r="F13" s="7"/>
      <c r="G13" s="5"/>
      <c r="H13" s="7"/>
    </row>
    <row r="14">
      <c r="A14" s="5">
        <v>8.0</v>
      </c>
      <c r="B14" s="9"/>
      <c r="C14" s="5"/>
      <c r="D14" s="5"/>
      <c r="E14" s="5"/>
      <c r="F14" s="7"/>
      <c r="G14" s="5"/>
      <c r="H14" s="7"/>
    </row>
    <row r="15">
      <c r="A15" s="5">
        <v>9.0</v>
      </c>
      <c r="B15" s="10"/>
      <c r="C15" s="5"/>
      <c r="D15" s="5"/>
      <c r="E15" s="5"/>
      <c r="F15" s="7"/>
      <c r="G15" s="5"/>
      <c r="H15" s="7"/>
    </row>
    <row r="16">
      <c r="A16" s="5">
        <v>10.0</v>
      </c>
      <c r="B16" s="9"/>
      <c r="C16" s="5"/>
      <c r="D16" s="5"/>
      <c r="E16" s="5"/>
      <c r="F16" s="7"/>
      <c r="G16" s="5"/>
      <c r="H16" s="7"/>
    </row>
    <row r="17">
      <c r="A17" s="5">
        <v>11.0</v>
      </c>
      <c r="B17" s="10"/>
      <c r="C17" s="5"/>
      <c r="D17" s="5"/>
      <c r="E17" s="5"/>
      <c r="F17" s="7"/>
      <c r="G17" s="5"/>
      <c r="H17" s="7"/>
    </row>
    <row r="18">
      <c r="A18" s="5">
        <v>12.0</v>
      </c>
      <c r="B18" s="9"/>
      <c r="C18" s="5"/>
      <c r="D18" s="5"/>
      <c r="E18" s="5"/>
      <c r="F18" s="7"/>
      <c r="G18" s="5"/>
      <c r="H18" s="7"/>
    </row>
    <row r="19">
      <c r="A19" s="5">
        <v>13.0</v>
      </c>
      <c r="B19" s="7"/>
      <c r="C19" s="5"/>
      <c r="D19" s="5"/>
      <c r="E19" s="5"/>
      <c r="F19" s="7"/>
      <c r="G19" s="5"/>
      <c r="H19" s="7"/>
    </row>
    <row r="20">
      <c r="A20" s="5">
        <v>14.0</v>
      </c>
      <c r="B20" s="7"/>
      <c r="C20" s="5"/>
      <c r="D20" s="5"/>
      <c r="E20" s="5"/>
      <c r="F20" s="7"/>
      <c r="G20" s="5"/>
      <c r="H20" s="7"/>
    </row>
    <row r="21" ht="15.75" customHeight="1">
      <c r="A21" s="5">
        <v>15.0</v>
      </c>
      <c r="B21" s="7"/>
      <c r="C21" s="5"/>
      <c r="D21" s="5"/>
      <c r="E21" s="5"/>
      <c r="F21" s="7"/>
      <c r="G21" s="5"/>
      <c r="H21" s="7"/>
    </row>
    <row r="22" ht="15.75" customHeight="1">
      <c r="A22" s="5">
        <v>16.0</v>
      </c>
      <c r="B22" s="7"/>
      <c r="C22" s="5"/>
      <c r="D22" s="5"/>
      <c r="E22" s="5"/>
      <c r="F22" s="7"/>
      <c r="G22" s="5"/>
      <c r="H22" s="7"/>
    </row>
    <row r="23" ht="15.75" customHeight="1">
      <c r="A23" s="5">
        <v>17.0</v>
      </c>
      <c r="B23" s="7"/>
      <c r="C23" s="5"/>
      <c r="D23" s="5"/>
      <c r="E23" s="5"/>
      <c r="F23" s="7"/>
      <c r="G23" s="5"/>
      <c r="H23" s="7"/>
    </row>
    <row r="24" ht="15.75" customHeight="1">
      <c r="A24" s="5">
        <v>18.0</v>
      </c>
      <c r="B24" s="7"/>
      <c r="C24" s="5"/>
      <c r="D24" s="5"/>
      <c r="E24" s="5"/>
      <c r="F24" s="7"/>
      <c r="G24" s="5"/>
      <c r="H24" s="7"/>
    </row>
    <row r="25" ht="15.75" customHeight="1">
      <c r="A25" s="5">
        <v>19.0</v>
      </c>
      <c r="B25" s="7"/>
      <c r="C25" s="5"/>
      <c r="D25" s="5"/>
      <c r="E25" s="5"/>
      <c r="F25" s="7"/>
      <c r="G25" s="5"/>
      <c r="H25" s="7"/>
    </row>
    <row r="26" ht="15.75" customHeight="1">
      <c r="A26" s="5">
        <v>20.0</v>
      </c>
      <c r="B26" s="7"/>
      <c r="C26" s="5"/>
      <c r="D26" s="5"/>
      <c r="E26" s="5"/>
      <c r="F26" s="7"/>
      <c r="G26" s="5"/>
      <c r="H26" s="7"/>
    </row>
    <row r="27" ht="15.75" customHeight="1">
      <c r="A27" s="5">
        <v>21.0</v>
      </c>
      <c r="B27" s="7"/>
      <c r="C27" s="5"/>
      <c r="D27" s="5"/>
      <c r="E27" s="5"/>
      <c r="F27" s="7"/>
      <c r="G27" s="5"/>
      <c r="H27" s="7"/>
    </row>
    <row r="28" ht="15.75" customHeight="1">
      <c r="A28" s="5">
        <v>22.0</v>
      </c>
      <c r="B28" s="7"/>
      <c r="C28" s="5"/>
      <c r="D28" s="5"/>
      <c r="E28" s="5"/>
      <c r="F28" s="7"/>
      <c r="G28" s="5"/>
      <c r="H28" s="7"/>
    </row>
    <row r="29" ht="15.75" customHeight="1">
      <c r="A29" s="5">
        <v>23.0</v>
      </c>
      <c r="B29" s="7"/>
      <c r="C29" s="5"/>
      <c r="D29" s="5"/>
      <c r="E29" s="5"/>
      <c r="F29" s="7"/>
      <c r="G29" s="5"/>
      <c r="H29" s="7"/>
    </row>
    <row r="30" ht="15.75" customHeight="1">
      <c r="A30" s="5">
        <v>24.0</v>
      </c>
      <c r="B30" s="7"/>
      <c r="C30" s="5"/>
      <c r="D30" s="5"/>
      <c r="E30" s="5"/>
      <c r="F30" s="7"/>
      <c r="G30" s="5"/>
      <c r="H30" s="7"/>
    </row>
    <row r="31" ht="15.75" customHeight="1">
      <c r="A31" s="5">
        <v>25.0</v>
      </c>
      <c r="B31" s="7"/>
      <c r="C31" s="5"/>
      <c r="D31" s="5"/>
      <c r="E31" s="5"/>
      <c r="F31" s="7"/>
      <c r="G31" s="5"/>
      <c r="H31" s="7"/>
    </row>
    <row r="32" ht="15.75" customHeight="1">
      <c r="A32" s="5">
        <v>26.0</v>
      </c>
      <c r="B32" s="7"/>
      <c r="C32" s="5"/>
      <c r="D32" s="5"/>
      <c r="E32" s="5"/>
      <c r="F32" s="7"/>
      <c r="G32" s="5"/>
      <c r="H32" s="7"/>
    </row>
    <row r="33" ht="15.75" customHeight="1">
      <c r="A33" s="5">
        <v>27.0</v>
      </c>
      <c r="B33" s="7"/>
      <c r="C33" s="5"/>
      <c r="D33" s="5"/>
      <c r="E33" s="5"/>
      <c r="F33" s="7"/>
      <c r="G33" s="5"/>
      <c r="H33" s="7"/>
    </row>
    <row r="34" ht="15.75" customHeight="1">
      <c r="A34" s="5">
        <v>28.0</v>
      </c>
      <c r="B34" s="7"/>
      <c r="C34" s="5"/>
      <c r="D34" s="5"/>
      <c r="E34" s="5"/>
      <c r="F34" s="7"/>
      <c r="G34" s="5"/>
      <c r="H34" s="7"/>
    </row>
    <row r="35" ht="15.75" customHeight="1">
      <c r="A35" s="5">
        <v>29.0</v>
      </c>
      <c r="B35" s="7"/>
      <c r="C35" s="5"/>
      <c r="D35" s="5"/>
      <c r="E35" s="5"/>
      <c r="F35" s="7"/>
      <c r="G35" s="5"/>
      <c r="H35" s="7"/>
    </row>
    <row r="36" ht="15.75" customHeight="1">
      <c r="A36" s="5">
        <v>30.0</v>
      </c>
      <c r="B36" s="7"/>
      <c r="C36" s="5"/>
      <c r="D36" s="5"/>
      <c r="E36" s="5"/>
      <c r="F36" s="7"/>
      <c r="G36" s="5"/>
      <c r="H36" s="7"/>
    </row>
    <row r="37" ht="15.75" customHeight="1">
      <c r="E37" s="11"/>
      <c r="F37" s="11"/>
      <c r="G37" s="11"/>
      <c r="H37" s="11"/>
    </row>
    <row r="38" ht="24.0" customHeight="1">
      <c r="A38" s="12" t="s">
        <v>16</v>
      </c>
      <c r="B38" s="13"/>
      <c r="C38" s="14"/>
      <c r="D38" s="15"/>
      <c r="E38" s="15"/>
      <c r="F38" s="15"/>
      <c r="G38" s="15"/>
      <c r="H38" s="16"/>
    </row>
    <row r="39" ht="24.0" customHeight="1">
      <c r="A39" s="17"/>
      <c r="B39" s="18"/>
      <c r="C39" s="19"/>
      <c r="H39" s="20"/>
    </row>
    <row r="40" ht="24.0" customHeight="1">
      <c r="A40" s="21"/>
      <c r="B40" s="22"/>
      <c r="C40" s="23"/>
      <c r="D40" s="24"/>
      <c r="E40" s="24"/>
      <c r="F40" s="24"/>
      <c r="G40" s="24"/>
      <c r="H40" s="25"/>
    </row>
    <row r="41" ht="15.75" customHeight="1">
      <c r="E41" s="11"/>
      <c r="F41" s="11"/>
      <c r="G41" s="11"/>
      <c r="H41" s="11"/>
    </row>
    <row r="42" ht="24.0" customHeight="1">
      <c r="A42" s="26" t="s">
        <v>17</v>
      </c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H1"/>
    <mergeCell ref="A38:B40"/>
    <mergeCell ref="C38:H40"/>
    <mergeCell ref="A42:H42"/>
  </mergeCells>
  <conditionalFormatting sqref="E7:E36">
    <cfRule type="colorScale" priority="1">
      <colorScale>
        <cfvo type="min"/>
        <cfvo type="percentile" val="50"/>
        <cfvo type="max"/>
        <color rgb="FFFCE8E6"/>
        <color rgb="FFFFF4CC"/>
        <color rgb="FFE6F4EA"/>
      </colorScale>
    </cfRule>
  </conditionalFormatting>
  <conditionalFormatting sqref="G7:G36">
    <cfRule type="colorScale" priority="2">
      <colorScale>
        <cfvo type="min"/>
        <cfvo type="percentile" val="50"/>
        <cfvo type="max"/>
        <color rgb="FFFCE8E6"/>
        <color rgb="FFFFF4CC"/>
        <color rgb="FFE6F4EA"/>
      </colorScale>
    </cfRule>
  </conditionalFormatting>
  <dataValidations>
    <dataValidation type="list" allowBlank="1" sqref="E7:E36 G7:G36">
      <formula1>"1,2,3,4,5"</formula1>
    </dataValidation>
    <dataValidation type="list" allowBlank="1" sqref="C7:C36">
      <formula1>"Có mặt,Vắng,Có phép,Đi muộn"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