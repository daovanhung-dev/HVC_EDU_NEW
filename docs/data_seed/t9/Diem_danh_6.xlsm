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3.xml"/>
  <Override ContentType="application/vnd.openxmlformats-officedocument.spreadsheetml.table+xml" PartName="/xl/tables/table4.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11.xml"/>
  <Override ContentType="application/vnd.openxmlformats-officedocument.spreadsheetml.table+xml" PartName="/xl/tables/table5.xml"/>
  <Override ContentType="application/vnd.openxmlformats-officedocument.spreadsheetml.table+xml" PartName="/xl/tables/table3.xml"/>
  <Override ContentType="application/vnd.openxmlformats-officedocument.spreadsheetml.table+xml" PartName="/xl/tables/table10.xml"/>
  <Override ContentType="application/vnd.openxmlformats-officedocument.spreadsheetml.table+xml" PartName="/xl/tables/table7.xml"/>
  <Override ContentType="application/vnd.openxmlformats-officedocument.spreadsheetml.table+xml" PartName="/xl/tables/table14.xml"/>
  <Override ContentType="application/vnd.openxmlformats-officedocument.spreadsheetml.table+xml" PartName="/xl/tables/table12.xml"/>
  <Override ContentType="application/vnd.openxmlformats-officedocument.spreadsheetml.table+xml" PartName="/xl/tables/table9.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4-9" sheetId="1" r:id="rId4"/>
    <sheet state="visible" name="6-9" sheetId="2" r:id="rId5"/>
    <sheet state="visible" name="Form đánh giá" sheetId="3" r:id="rId6"/>
  </sheets>
  <definedNames/>
  <calcPr/>
  <extLst>
    <ext uri="GoogleSheetsCustomDataVersion2">
      <go:sheetsCustomData xmlns:go="http://customooxmlschemas.google.com/" r:id="rId7" roundtripDataChecksum="QBb62xvrgp6xPZkqQ24PIdP7F7zziJBBr5tTuYC0g1A="/>
    </ext>
  </extLst>
</workbook>
</file>

<file path=xl/sharedStrings.xml><?xml version="1.0" encoding="utf-8"?>
<sst xmlns="http://schemas.openxmlformats.org/spreadsheetml/2006/main" count="247" uniqueCount="62">
  <si>
    <t>FORM ĐÁNH GIÁ LỚP HỌC</t>
  </si>
  <si>
    <t>Lớp:</t>
  </si>
  <si>
    <t>Ngày:</t>
  </si>
  <si>
    <t>Giáo viên:</t>
  </si>
  <si>
    <t>Bài học:</t>
  </si>
  <si>
    <t>Phương Anh</t>
  </si>
  <si>
    <t>Sĩ số:</t>
  </si>
  <si>
    <t>Mạnh Cường</t>
  </si>
  <si>
    <t>Cường</t>
  </si>
  <si>
    <t>Có mặt:</t>
  </si>
  <si>
    <t>Vắng:</t>
  </si>
  <si>
    <t>STT</t>
  </si>
  <si>
    <t>Họ và tên học sinh</t>
  </si>
  <si>
    <t>Điểm danh</t>
  </si>
  <si>
    <t>Ngày: 3/9/2026</t>
  </si>
  <si>
    <t>Điểm BTVN</t>
  </si>
  <si>
    <t>Mức độ hiểu bài (1-5)</t>
  </si>
  <si>
    <t>Lỗ hổng / Phần chưa hiểu</t>
  </si>
  <si>
    <t>Thái độ học tập (1-5)</t>
  </si>
  <si>
    <t>Trợ Giảng</t>
  </si>
  <si>
    <t>Hướng xử lý / Ghi chú</t>
  </si>
  <si>
    <t>Duy</t>
  </si>
  <si>
    <t>Nhận xét</t>
  </si>
  <si>
    <t>Duy, Tâm</t>
  </si>
  <si>
    <t>Duy. Tâm</t>
  </si>
  <si>
    <t>Có mặt</t>
  </si>
  <si>
    <t xml:space="preserve">Bạn Ngân ngồi học rất  ngoan chăm chú nghe giảng hiểu bản chất vấn đề và nắm được kiến thức cơ bản.Tuy nhiên trong lúc làm BT có khá ẩu dẫn đến sai sót. Bạn cần luyện tập các dạng bài thêm nhiều hơn và rèn kĩ năng cẩn thận hơn </t>
  </si>
  <si>
    <t>Bạn Ngân có tư duy tốt, tính toán nhanh</t>
  </si>
  <si>
    <t>Phương Anh là bạn rất chăm chú nghe giảng và luôn tích cực phát biểu xây dựng bài. Bạn nắm chắc kiến thức cơ bản, tuy nhiên bạn còn rất ẩu dẫn đến những sai sót không đáng có trong quá trình làm bài. Bạn cần rèn luyện tính cẩn thận nhiều hơn.</t>
  </si>
  <si>
    <t>Bạn Phương Anh có ý thức làm bài, chú ý nghe giảng tuy nhiên thỉnh thoảng vẫn mắc lỗi sai cơ bản. Bạn cần cải thiện tính toán cẩn thận hơn</t>
  </si>
  <si>
    <t>Bạn Bảo hiểu bài nhanh nhưng cần chú ý nghe giảng hơn, hay mất trật tự để giáo viên phải nhắc nhiểu</t>
  </si>
  <si>
    <t>Bạn Bảo đã có tiến bộ hơn về ý thức học tập, bạn đã tự giác làm bài và chăm chú nghe giảng hơn và nắm được các kiến thức cơ bản. Tuy nhiên đôi lúc bạn còn thiếu sự tập trung nên tốc độ làm bài còn chậm hơn các bạn. Bạn cần tập trung cao độ hơn trong các buổi học sau để đạt hiểu quả cao hơn.</t>
  </si>
  <si>
    <t>Bạn Bảo hiểu bài nhanh nhưng cần chú ý nghe giảng hơn, hay mất trật tự để giáo viên phải nhắc nhiều, đôi khi không chép bài đầy đủ</t>
  </si>
  <si>
    <t>Bảo là một bạn nắm kiến thức rất chắc và luôn tích cực tham gia xây dựng bài, rất chăm chú nghe giảng.Tuy nhiên một số buổi gần đây tốc độ làm bài của bạn rất chậm và rất ẩu.Bạn cần lấy lại phong độ học tập và làm bài cẩn thận hơn</t>
  </si>
  <si>
    <t>Vắng</t>
  </si>
  <si>
    <t>Linh rất chăm chú nghe giảng và tự giác học và làm bài.Tuy nhiên bạn khá nhút nhát ngại hỏi.Bạn cần mạnh dạn hỏi bài và phát biểu xây dựng bài nhiều hơn</t>
  </si>
  <si>
    <t>Bạn Diệp có tư duy nền tảng tốt, làm bài rất nhanh, hay phát biểu xây dựng bài</t>
  </si>
  <si>
    <t>Họ và</t>
  </si>
  <si>
    <t>Tên</t>
  </si>
  <si>
    <t>Diệp là bạn rất chăm chú nghe giảng và rất sôi nổi phát biểu xây dựng bài. Bạn nắm chắc kiến thức cơ bản, tuy nhiên bạn còn rất ẩu dẫn đến những sai sót không đáng có trong quá trình làm bài. Bạn cần rèn luyện tính cẩn thận nhiều hơn.</t>
  </si>
  <si>
    <t xml:space="preserve">BUỔI </t>
  </si>
  <si>
    <t>Tú tuy vào học sau so với các bạn nhưng bạn nắm khá chắc kiến thức và mạnh dạn hỏi những bài chưa được học và chưa hiểu.Bạn cần phát huy tinh thần học tập này</t>
  </si>
  <si>
    <t>Số lần nhận đánh giá tốt</t>
  </si>
  <si>
    <t>Nhận xét (Ưu điểm -&gt; Nhược điểm -&gt; Giải pháp)</t>
  </si>
  <si>
    <t>Bạn Hoàng đã có tiến bộ hơn về ý thức học tập, bạn đã tự giác làm bài và chăm chú nghe giảng hơn và nắm được các kiến thức cơ bản. Tuy nhiên đôi lúc bạn còn thiếu sự tập trung nên tốc độ làm bài còn chậm hơn các bạn. Bạn cần tập trung cao độ hơn trong các buổi học sau để đạt hiểu quả cao hơn.</t>
  </si>
  <si>
    <t>Bạn An có khả năng hiểu bài nhanh, tư duy tốt nhưng đôi khi hay mất tập trung, chưa chú ý nghe giảng</t>
  </si>
  <si>
    <t>Bình An là một bạn khá thông minh, chăm chú nghe giảng. Tuy nhiên bạn còn rất ẩu trong quá trình làm bài khiến làm bài sai khá nhiều.Bạn cần rèn luyện tính cẩn thận để đạt kết quả cao hơn</t>
  </si>
  <si>
    <t>My đã có tiến bộ hơn nắm đa số kiến thức cơ bản đã học.Bạn cần rèn luyện thêm các kiến thức để đạt kết quả cao hơn</t>
  </si>
  <si>
    <t>Dũng đã có tiến bộ hơn khá nhiều so với những buổi đầu vào học cùng các bạn.Tuy nhiên các kiến thức cơ bản của bạn còn chưa nắm vững nên đôi lúc làm bài còn khá ;úng túng.Bạn cần ôn lại các kiến thức đã học để đạt kiến quả tốt hơn</t>
  </si>
  <si>
    <t>Minh là một trong những bạn khá thông minh trong lớp, đôi lúc bạn có những ý tưởng giải bài khá tốt, rất chăm chú nghe giảng và tự giác làm bài. Bạn cần tiếp tục duy trì phong độ học tập này</t>
  </si>
  <si>
    <t>Bạn Duy có ý thức học tập khá tốt,khá tập trung vào bài.Tuy nhiên bạn đôi lúc chưa tự giác làm những bài được giao và chưa tập trung vào buổi học.Bạn cần tập trung vào buổi học và tự giác học và làm bài hơn để đạt hiệu quả cao hơn trong buổi học</t>
  </si>
  <si>
    <t>Bạn Phúc rất chăm chú nghe giảng, tiếp thu bài tốt và tích cực tham gia xây dựng bài. Bạn có thái độ học tập nghiêm túc và chủ động, đây là điểm rất đáng khen. Hãy tiếp tục phát huy tinh thần này để ngày càng tiến bộ.</t>
  </si>
  <si>
    <t>Bạn Thảo Linh có ý thức sửa sai tốt và đã rất cố gắng hoàn thiện lại những câu còn mắc lỗi. Tuy nhiên, đôi lúc bạn vẫn còn hơi ẩu khi làm bài nên dễ dẫn đến sai sót. Bạn cần đọc kỹ đề, kiểm tra lại từng bước trước khi kết luận để hạn chế những lỗi không đáng có.</t>
  </si>
  <si>
    <t>Hân khá chăm chú nghe giảng và tự giác học tập.Bạn cần duy trì thái độ học tập này để nắm vững hơn các kiến thức mà bạn chưa được học</t>
  </si>
  <si>
    <t>Kiều Anh khá chăm chú nghe giảng và tự giác học tập.Bạn cần duy trì thái độ học tập này để nắm vững hơn các kiến thức mà bạn chưa được học</t>
  </si>
  <si>
    <t xml:space="preserve">Khang </t>
  </si>
  <si>
    <t>Bạn Khang mới theo lớp nhưng có tinh thần học tập tốt. Tuy nhiên,đôi lúc còn chưa tập trung vào làm bài. Bạn cần tập trung hơn vào buổi học, tránh nói chuyện để buổi học nâng cao hiệu quả hơn</t>
  </si>
  <si>
    <t>Bạn Kiều Anh làm bài tập về nhà đầy đủ, trên lớp ngoan, nghe lời giáo viên, chú ý nghe giảng nhưng cần luyện thêm nhiều bài tập để có kết quả tốt hơn</t>
  </si>
  <si>
    <t>Nhận xét buổi học:</t>
  </si>
  <si>
    <t>Nhìn chung cả lớp đều hiểu bài tuy nhiên mất trật tự rất nhiều</t>
  </si>
  <si>
    <t>Thang điểm 1–5: 1 = rất yếu/chưa tốt; 3 = đạt; 5 = nắm bài rất tốt/thái độ rất tốt.</t>
  </si>
  <si>
    <t>Khang</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</si>
</sst>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11">
    <font>
      <sz val="11.0"/>
      <color rgb="FF000000"/>
      <name val="Carlito"/>
      <scheme val="minor"/>
    </font>
    <font>
      <b/>
      <sz val="14.0"/>
      <color theme="1"/>
      <name val="Carlito"/>
    </font>
    <font>
      <sz val="11.0"/>
      <color theme="1"/>
      <name val="Carlito"/>
    </font>
    <font>
      <b/>
      <sz val="11.0"/>
      <color theme="1"/>
      <name val="Carlito"/>
    </font>
    <font>
      <sz val="11.0"/>
      <color rgb="FF434343"/>
      <name val="Carlito"/>
    </font>
    <font/>
    <font>
      <b/>
      <i/>
      <sz val="9.0"/>
      <color theme="1"/>
      <name val="Carlito"/>
    </font>
    <font>
      <i/>
      <sz val="9.0"/>
      <color theme="1"/>
      <name val="Carlito"/>
    </font>
    <font>
      <color theme="1"/>
      <name val="Carlito"/>
      <scheme val="minor"/>
    </font>
    <font>
      <sz val="14.0"/>
      <color theme="1"/>
      <name val="Carlito"/>
    </font>
    <font>
      <b/>
      <i/>
      <sz val="14.0"/>
      <color theme="1"/>
      <name val="Carlito"/>
    </font>
  </fonts>
  <fills count="6">
    <fill>
      <patternFill patternType="none"/>
    </fill>
    <fill>
      <patternFill patternType="lightGray"/>
    </fill>
    <fill>
      <patternFill patternType="solid">
        <fgColor rgb="FFE2E8F0"/>
        <bgColor rgb="FFE2E8F0"/>
      </patternFill>
    </fill>
    <fill>
      <patternFill patternType="solid">
        <fgColor rgb="FFFFFFFF"/>
        <bgColor rgb="FFFFFFFF"/>
      </patternFill>
    </fill>
    <fill>
      <patternFill patternType="solid">
        <fgColor rgb="FFF6F8F9"/>
        <bgColor rgb="FFF6F8F9"/>
      </patternFill>
    </fill>
    <fill>
      <patternFill patternType="solid">
        <fgColor rgb="FFFCEBE0"/>
        <bgColor rgb="FFFCEBE0"/>
      </patternFill>
    </fill>
  </fills>
  <borders count="19">
    <border/>
    <border>
      <right style="medium">
        <color rgb="FF000000"/>
      </right>
    </border>
    <border>
      <left style="thin">
        <color rgb="FFB7B7B7"/>
      </left>
      <top style="thin">
        <color rgb="FFB7B7B7"/>
      </top>
    </border>
    <border>
      <right style="thin">
        <color rgb="FFD9D9D9"/>
      </right>
      <top style="thin">
        <color rgb="FFB7B7B7"/>
      </top>
    </border>
    <border>
      <left style="thin">
        <color rgb="FFD9D9D9"/>
      </left>
      <top style="thin">
        <color rgb="FFB7B7B7"/>
      </top>
    </border>
    <border>
      <top style="thin">
        <color rgb="FFB7B7B7"/>
      </top>
    </border>
    <border>
      <right style="thin">
        <color rgb="FFB7B7B7"/>
      </right>
      <top style="thin">
        <color rgb="FFB7B7B7"/>
      </top>
    </border>
    <border>
      <left style="thin">
        <color rgb="FFB7B7B7"/>
      </left>
    </border>
    <border>
      <right style="thin">
        <color rgb="FFD9D9D9"/>
      </right>
    </border>
    <border>
      <left style="thin">
        <color rgb="FFD9D9D9"/>
      </left>
    </border>
    <border>
      <right style="thin">
        <color rgb="FFB7B7B7"/>
      </right>
    </border>
    <border>
      <left style="thin">
        <color rgb="FFB7B7B7"/>
      </left>
      <bottom style="thin">
        <color rgb="FFB7B7B7"/>
      </bottom>
    </border>
    <border>
      <right style="thin">
        <color rgb="FFD9D9D9"/>
      </right>
      <bottom style="thin">
        <color rgb="FFB7B7B7"/>
      </bottom>
    </border>
    <border>
      <left style="thin">
        <color rgb="FFD9D9D9"/>
      </left>
      <bottom style="thin">
        <color rgb="FFB7B7B7"/>
      </bottom>
    </border>
    <border>
      <bottom style="thin">
        <color rgb="FFB7B7B7"/>
      </bottom>
    </border>
    <border>
      <right style="thin">
        <color rgb="FFB7B7B7"/>
      </right>
      <bottom style="thin">
        <color rgb="FFB7B7B7"/>
      </bottom>
    </border>
    <border>
      <top style="thin">
        <color rgb="FFB7B7B7"/>
      </top>
      <bottom style="thin">
        <color rgb="FFB7B7B7"/>
      </bottom>
    </border>
    <border>
      <right style="medium">
        <color rgb="FF000000"/>
      </right>
      <top style="thin">
        <color rgb="FFB7B7B7"/>
      </top>
    </border>
    <border>
      <right style="medium">
        <color rgb="FF000000"/>
      </right>
      <bottom style="thin">
        <color rgb="FFB7B7B7"/>
      </bottom>
    </border>
  </borders>
  <cellStyleXfs count="1">
    <xf borderId="0" fillId="0" fontId="0" numFmtId="0" applyAlignment="1" applyFont="1"/>
  </cellStyleXfs>
  <cellXfs count="84">
    <xf borderId="0" fillId="0" fontId="0" numFmtId="0" xfId="0" applyAlignment="1" applyFont="1">
      <alignment readingOrder="0" shrinkToFit="0" vertical="bottom" wrapText="0"/>
    </xf>
    <xf borderId="0" fillId="0" fontId="1" numFmtId="0" xfId="0" applyAlignment="1" applyFont="1">
      <alignment horizontal="center" vertical="center"/>
    </xf>
    <xf borderId="0" fillId="0" fontId="2" numFmtId="0" xfId="0" applyFont="1"/>
    <xf borderId="0" fillId="0" fontId="3" numFmtId="0" xfId="0" applyAlignment="1" applyFont="1">
      <alignment vertical="center"/>
    </xf>
    <xf borderId="0" fillId="0" fontId="2" numFmtId="0" xfId="0" applyAlignment="1" applyFont="1">
      <alignment vertical="center"/>
    </xf>
    <xf borderId="0" fillId="0" fontId="3" numFmtId="0" xfId="0" applyFont="1"/>
    <xf borderId="1" fillId="0" fontId="2" numFmtId="0" xfId="0" applyAlignment="1" applyBorder="1" applyFont="1">
      <alignment readingOrder="0"/>
    </xf>
    <xf borderId="0" fillId="0" fontId="2" numFmtId="0" xfId="0" applyAlignment="1" applyFont="1">
      <alignment readingOrder="0"/>
    </xf>
    <xf borderId="0" fillId="2" fontId="3" numFmtId="0" xfId="0" applyAlignment="1" applyFill="1" applyFont="1">
      <alignment horizontal="center" shrinkToFit="0" vertical="center" wrapText="1"/>
    </xf>
    <xf borderId="0" fillId="3" fontId="2" numFmtId="0" xfId="0" applyAlignment="1" applyFill="1" applyFont="1">
      <alignment horizontal="center" readingOrder="0"/>
    </xf>
    <xf borderId="0" fillId="3" fontId="3" numFmtId="0" xfId="0" applyFill="1" applyFont="1"/>
    <xf borderId="0" fillId="3" fontId="2" numFmtId="0" xfId="0" applyFill="1" applyFont="1"/>
    <xf borderId="0" fillId="0" fontId="2" numFmtId="0" xfId="0" applyAlignment="1" applyFont="1">
      <alignment horizontal="center" shrinkToFit="0" vertical="center" wrapText="1"/>
    </xf>
    <xf borderId="0" fillId="2" fontId="3" numFmtId="0" xfId="0" applyAlignment="1" applyFill="1" applyFont="1">
      <alignment horizontal="center" readingOrder="0" shrinkToFit="0" vertical="center" wrapText="1"/>
    </xf>
    <xf borderId="0" fillId="3" fontId="2" numFmtId="0" xfId="0" applyAlignment="1" applyFill="1" applyFont="1">
      <alignment horizontal="center" readingOrder="0"/>
    </xf>
    <xf borderId="0" fillId="3" fontId="3" numFmtId="0" xfId="0" applyFill="1" applyFont="1"/>
    <xf borderId="0" fillId="3" fontId="2" numFmtId="0" xfId="0" applyFill="1" applyFont="1"/>
    <xf borderId="0" fillId="3" fontId="2" numFmtId="0" xfId="0" applyAlignment="1" applyFill="1" applyFont="1">
      <alignment horizontal="center"/>
    </xf>
    <xf borderId="0" fillId="0" fontId="2" numFmtId="0" xfId="0" applyAlignment="1" applyFont="1">
      <alignment vertical="bottom"/>
    </xf>
    <xf borderId="0" fillId="3" fontId="4" numFmtId="0" xfId="0" applyAlignment="1" applyFill="1" applyFont="1">
      <alignment horizontal="center" readingOrder="0" shrinkToFit="0" vertical="bottom" wrapText="0"/>
    </xf>
    <xf borderId="0" fillId="0" fontId="2" numFmtId="0" xfId="0" applyAlignment="1" applyFont="1">
      <alignment horizontal="center" readingOrder="0" shrinkToFit="0" vertical="center" wrapText="1"/>
    </xf>
    <xf borderId="0" fillId="0" fontId="2" numFmtId="0" xfId="0" applyAlignment="1" applyFont="1">
      <alignment readingOrder="0" shrinkToFit="0" vertical="center" wrapText="1"/>
    </xf>
    <xf borderId="0" fillId="0" fontId="2" numFmtId="0" xfId="0" applyAlignment="1" applyFont="1">
      <alignment shrinkToFit="0" vertical="center" wrapText="1"/>
    </xf>
    <xf borderId="0" fillId="4" fontId="2" numFmtId="0" xfId="0" applyAlignment="1" applyFill="1" applyFont="1">
      <alignment horizontal="center"/>
    </xf>
    <xf borderId="0" fillId="4" fontId="3" numFmtId="0" xfId="0" applyFill="1" applyFont="1"/>
    <xf borderId="0" fillId="0" fontId="3" numFmtId="0" xfId="0" applyAlignment="1" applyFont="1">
      <alignment readingOrder="0"/>
    </xf>
    <xf borderId="0" fillId="4" fontId="4" numFmtId="0" xfId="0" applyAlignment="1" applyFill="1" applyFont="1">
      <alignment horizontal="center" readingOrder="0" shrinkToFit="0" vertical="bottom" wrapText="0"/>
    </xf>
    <xf borderId="1" fillId="5" fontId="2" numFmtId="0" xfId="0" applyBorder="1" applyFill="1" applyFont="1"/>
    <xf borderId="0" fillId="4" fontId="2" numFmtId="0" xfId="0" applyAlignment="1" applyFill="1" applyFont="1">
      <alignment horizontal="center"/>
    </xf>
    <xf borderId="0" fillId="4" fontId="3" numFmtId="0" xfId="0" applyFill="1" applyFont="1"/>
    <xf borderId="0" fillId="4" fontId="2" numFmtId="0" xfId="0" applyFill="1" applyFont="1"/>
    <xf borderId="0" fillId="5" fontId="2" numFmtId="0" xfId="0" applyFill="1" applyFont="1"/>
    <xf borderId="0" fillId="2" fontId="3" numFmtId="0" xfId="0" applyAlignment="1" applyFill="1" applyFont="1">
      <alignment horizontal="center" shrinkToFit="0" vertical="center" wrapText="1"/>
    </xf>
    <xf borderId="0" fillId="2" fontId="3" numFmtId="0" xfId="0" applyAlignment="1" applyFill="1" applyFont="1">
      <alignment horizontal="right" readingOrder="0" shrinkToFit="0" vertical="center" wrapText="1"/>
    </xf>
    <xf borderId="0" fillId="2" fontId="3" numFmtId="0" xfId="0" applyAlignment="1" applyFill="1" applyFont="1">
      <alignment horizontal="left" readingOrder="0" shrinkToFit="0" vertical="center" wrapText="1"/>
    </xf>
    <xf borderId="0" fillId="2" fontId="3" numFmtId="0" xfId="0" applyAlignment="1" applyFill="1" applyFont="1">
      <alignment horizontal="center" readingOrder="0" vertical="center"/>
    </xf>
    <xf borderId="1" fillId="0" fontId="5" numFmtId="0" xfId="0" applyBorder="1" applyFont="1"/>
    <xf borderId="0" fillId="2" fontId="3" numFmtId="0" xfId="0" applyAlignment="1" applyFill="1" applyFont="1">
      <alignment horizontal="center" vertical="center"/>
    </xf>
    <xf borderId="1" fillId="2" fontId="3" numFmtId="0" xfId="0" applyAlignment="1" applyBorder="1" applyFill="1" applyFont="1">
      <alignment horizontal="center" shrinkToFit="0" vertical="center" wrapText="1"/>
    </xf>
    <xf borderId="0" fillId="0" fontId="2" numFmtId="0" xfId="0" applyAlignment="1" applyFont="1">
      <alignment horizontal="center" shrinkToFit="0" wrapText="1"/>
    </xf>
    <xf borderId="0" fillId="3" fontId="2" numFmtId="0" xfId="0" applyAlignment="1" applyFill="1" applyFont="1">
      <alignment horizontal="center" shrinkToFit="0" wrapText="1"/>
    </xf>
    <xf borderId="0" fillId="4" fontId="2" numFmtId="0" xfId="0" applyFill="1" applyFont="1"/>
    <xf borderId="0" fillId="0" fontId="2" numFmtId="0" xfId="0" applyAlignment="1" applyFont="1">
      <alignment readingOrder="0" shrinkToFit="0" vertical="bottom" wrapText="1"/>
    </xf>
    <xf borderId="0" fillId="0" fontId="2" numFmtId="0" xfId="0" applyAlignment="1" applyFont="1">
      <alignment shrinkToFit="0" wrapText="1"/>
    </xf>
    <xf borderId="2" fillId="0" fontId="6" numFmtId="0" xfId="0" applyAlignment="1" applyBorder="1" applyFont="1">
      <alignment horizontal="left" shrinkToFit="0" vertical="top" wrapText="1"/>
    </xf>
    <xf borderId="3" fillId="0" fontId="5" numFmtId="0" xfId="0" applyBorder="1" applyFont="1"/>
    <xf borderId="4" fillId="0" fontId="7" numFmtId="0" xfId="0" applyAlignment="1" applyBorder="1" applyFont="1">
      <alignment horizontal="left" readingOrder="0" shrinkToFit="0" vertical="top" wrapText="1"/>
    </xf>
    <xf borderId="5" fillId="0" fontId="5" numFmtId="0" xfId="0" applyBorder="1" applyFont="1"/>
    <xf borderId="6" fillId="0" fontId="5" numFmtId="0" xfId="0" applyBorder="1" applyFont="1"/>
    <xf borderId="7" fillId="0" fontId="5" numFmtId="0" xfId="0" applyBorder="1" applyFont="1"/>
    <xf borderId="8" fillId="0" fontId="5" numFmtId="0" xfId="0" applyBorder="1" applyFont="1"/>
    <xf borderId="9" fillId="0" fontId="5" numFmtId="0" xfId="0" applyBorder="1" applyFont="1"/>
    <xf borderId="10" fillId="0" fontId="5" numFmtId="0" xfId="0" applyBorder="1" applyFont="1"/>
    <xf borderId="11" fillId="0" fontId="5" numFmtId="0" xfId="0" applyBorder="1" applyFont="1"/>
    <xf borderId="12" fillId="0" fontId="5" numFmtId="0" xfId="0" applyBorder="1" applyFont="1"/>
    <xf borderId="13" fillId="0" fontId="5" numFmtId="0" xfId="0" applyBorder="1" applyFont="1"/>
    <xf borderId="14" fillId="0" fontId="5" numFmtId="0" xfId="0" applyBorder="1" applyFont="1"/>
    <xf borderId="15" fillId="0" fontId="5" numFmtId="0" xfId="0" applyBorder="1" applyFont="1"/>
    <xf borderId="0" fillId="0" fontId="7" numFmtId="0" xfId="0" applyAlignment="1" applyFont="1">
      <alignment shrinkToFit="0" vertical="center" wrapText="1"/>
    </xf>
    <xf borderId="0" fillId="0" fontId="2" numFmtId="0" xfId="0" applyAlignment="1" applyFont="1">
      <alignment readingOrder="0" vertical="center"/>
    </xf>
    <xf borderId="0" fillId="0" fontId="2" numFmtId="164" xfId="0" applyAlignment="1" applyFont="1" applyNumberFormat="1">
      <alignment readingOrder="0" vertical="center"/>
    </xf>
    <xf borderId="0" fillId="0" fontId="2" numFmtId="0" xfId="0" applyAlignment="1" applyFont="1">
      <alignment horizontal="center" readingOrder="0" vertical="bottom"/>
    </xf>
    <xf borderId="0" fillId="0" fontId="8" numFmtId="0" xfId="0" applyAlignment="1" applyFont="1">
      <alignment horizontal="center" readingOrder="0"/>
    </xf>
    <xf borderId="0" fillId="0" fontId="8" numFmtId="0" xfId="0" applyAlignment="1" applyFont="1">
      <alignment horizontal="center" readingOrder="0" shrinkToFit="0" wrapText="1"/>
    </xf>
    <xf borderId="0" fillId="4" fontId="2" numFmtId="0" xfId="0" applyAlignment="1" applyFill="1" applyFont="1">
      <alignment horizontal="center" shrinkToFit="0" wrapText="1"/>
    </xf>
    <xf borderId="0" fillId="0" fontId="8" numFmtId="0" xfId="0" applyFont="1"/>
    <xf borderId="0" fillId="3" fontId="2" numFmtId="0" xfId="0" applyAlignment="1" applyFill="1" applyFont="1">
      <alignment horizontal="center" shrinkToFit="0" wrapText="1"/>
    </xf>
    <xf borderId="5" fillId="3" fontId="9" numFmtId="0" xfId="0" applyAlignment="1" applyBorder="1" applyFill="1" applyFont="1">
      <alignment horizontal="left" readingOrder="0" shrinkToFit="0" wrapText="1"/>
    </xf>
    <xf borderId="5" fillId="3" fontId="10" numFmtId="0" xfId="0" applyAlignment="1" applyBorder="1" applyFill="1" applyFont="1">
      <alignment horizontal="center" shrinkToFit="0" wrapText="1"/>
    </xf>
    <xf borderId="3" fillId="3" fontId="10" numFmtId="0" xfId="0" applyAlignment="1" applyBorder="1" applyFill="1" applyFont="1">
      <alignment horizontal="center" shrinkToFit="0" wrapText="1"/>
    </xf>
    <xf borderId="0" fillId="3" fontId="4" numFmtId="0" xfId="0" applyAlignment="1" applyFill="1" applyFont="1">
      <alignment horizontal="center" readingOrder="0" shrinkToFit="0" vertical="bottom" wrapText="0"/>
    </xf>
    <xf borderId="0" fillId="0" fontId="10" numFmtId="0" xfId="0" applyAlignment="1" applyFont="1">
      <alignment horizontal="center" shrinkToFit="0" wrapText="1"/>
    </xf>
    <xf borderId="8" fillId="0" fontId="10" numFmtId="0" xfId="0" applyAlignment="1" applyBorder="1" applyFont="1">
      <alignment horizontal="center" shrinkToFit="0" wrapText="1"/>
    </xf>
    <xf borderId="2" fillId="0" fontId="10" numFmtId="0" xfId="0" applyAlignment="1" applyBorder="1" applyFont="1">
      <alignment horizontal="center" shrinkToFit="0" vertical="bottom" wrapText="1"/>
    </xf>
    <xf borderId="3" fillId="4" fontId="5" numFmtId="0" xfId="0" applyBorder="1" applyFill="1" applyFont="1"/>
    <xf borderId="16" fillId="4" fontId="10" numFmtId="0" xfId="0" applyAlignment="1" applyBorder="1" applyFill="1" applyFont="1">
      <alignment horizontal="center" shrinkToFit="0" vertical="bottom" wrapText="1"/>
    </xf>
    <xf borderId="4" fillId="4" fontId="2" numFmtId="0" xfId="0" applyAlignment="1" applyBorder="1" applyFill="1" applyFont="1">
      <alignment vertical="bottom"/>
    </xf>
    <xf borderId="5" fillId="4" fontId="5" numFmtId="0" xfId="0" applyBorder="1" applyFill="1" applyFont="1"/>
    <xf borderId="17" fillId="0" fontId="5" numFmtId="0" xfId="0" applyBorder="1" applyFont="1"/>
    <xf borderId="16" fillId="0" fontId="10" numFmtId="0" xfId="0" applyAlignment="1" applyBorder="1" applyFont="1">
      <alignment horizontal="center" shrinkToFit="0" vertical="bottom" wrapText="1"/>
    </xf>
    <xf borderId="18" fillId="0" fontId="5" numFmtId="0" xfId="0" applyBorder="1" applyFont="1"/>
    <xf borderId="0" fillId="0" fontId="2" numFmtId="0" xfId="0" applyAlignment="1" applyFont="1">
      <alignment vertical="bottom"/>
    </xf>
    <xf borderId="1" fillId="0" fontId="2" numFmtId="0" xfId="0" applyAlignment="1" applyBorder="1" applyFont="1">
      <alignment vertical="bottom"/>
    </xf>
    <xf borderId="0" fillId="0" fontId="7" numFmtId="0" xfId="0" applyAlignment="1" applyFont="1">
      <alignment shrinkToFit="0" vertical="bottom" wrapText="1"/>
    </xf>
  </cellXfs>
  <cellStyles count="1">
    <cellStyle xfId="0" name="Normal" builtinId="0"/>
  </cellStyles>
  <dxfs count="3">
    <dxf>
      <font/>
      <fill>
        <patternFill patternType="none"/>
      </fill>
      <border/>
    </dxf>
    <dxf>
      <font/>
      <fill>
        <patternFill patternType="solid">
          <fgColor rgb="FFFFFFFF"/>
          <bgColor rgb="FFFFFFFF"/>
        </patternFill>
      </fill>
      <border/>
    </dxf>
    <dxf>
      <font/>
      <fill>
        <patternFill patternType="solid">
          <fgColor rgb="FFF6F8F9"/>
          <bgColor rgb="FFF6F8F9"/>
        </patternFill>
      </fill>
      <border/>
    </dxf>
  </dxfs>
  <tableStyles count="14">
    <tableStyle count="2" pivot="0" name="Form đánh giá-style">
      <tableStyleElement dxfId="1" type="firstRowStripe"/>
      <tableStyleElement dxfId="2" type="secondRowStripe"/>
    </tableStyle>
    <tableStyle count="2" pivot="0" name="6-9-style">
      <tableStyleElement dxfId="1" type="firstRowStripe"/>
      <tableStyleElement dxfId="2" type="secondRowStripe"/>
    </tableStyle>
    <tableStyle count="2" pivot="0" name="4-9-style">
      <tableStyleElement dxfId="1" type="firstRowStripe"/>
      <tableStyleElement dxfId="2" type="secondRowStripe"/>
    </tableStyle>
    <tableStyle count="2" pivot="0" name="4-9-style 2">
      <tableStyleElement dxfId="1" type="firstRowStripe"/>
      <tableStyleElement dxfId="2" type="secondRowStripe"/>
    </tableStyle>
    <tableStyle count="2" pivot="0" name="Form đánh giá-style 2">
      <tableStyleElement dxfId="1" type="firstRowStripe"/>
      <tableStyleElement dxfId="2" type="secondRowStripe"/>
    </tableStyle>
    <tableStyle count="2" pivot="0" name="Form đánh giá-style 3">
      <tableStyleElement dxfId="1" type="firstRowStripe"/>
      <tableStyleElement dxfId="2" type="secondRowStripe"/>
    </tableStyle>
    <tableStyle count="2" pivot="0" name="Form đánh giá-style 4">
      <tableStyleElement dxfId="1" type="firstRowStripe"/>
      <tableStyleElement dxfId="2" type="secondRowStripe"/>
    </tableStyle>
    <tableStyle count="2" pivot="0" name="Form đánh giá-style 5">
      <tableStyleElement dxfId="1" type="firstRowStripe"/>
      <tableStyleElement dxfId="2" type="secondRowStripe"/>
    </tableStyle>
    <tableStyle count="2" pivot="0" name="Form đánh giá-style 6">
      <tableStyleElement dxfId="2" type="firstRowStripe"/>
      <tableStyleElement dxfId="1" type="secondRowStripe"/>
    </tableStyle>
    <tableStyle count="2" pivot="0" name="Form đánh giá-style 7">
      <tableStyleElement dxfId="2" type="firstRowStripe"/>
      <tableStyleElement dxfId="1" type="secondRowStripe"/>
    </tableStyle>
    <tableStyle count="2" pivot="0" name="Form đánh giá-style 8">
      <tableStyleElement dxfId="2" type="firstRowStripe"/>
      <tableStyleElement dxfId="1" type="secondRowStripe"/>
    </tableStyle>
    <tableStyle count="2" pivot="0" name="Form đánh giá-style 9">
      <tableStyleElement dxfId="2" type="firstRowStripe"/>
      <tableStyleElement dxfId="1" type="secondRowStripe"/>
    </tableStyle>
    <tableStyle count="2" pivot="0" name="Form đánh giá-style 10">
      <tableStyleElement dxfId="2" type="firstRowStripe"/>
      <tableStyleElement dxfId="1" type="secondRowStripe"/>
    </tableStyle>
    <tableStyle count="2" pivot="0" name="Form đánh giá-style 11">
      <tableStyleElement dxfId="2" type="firstRowStripe"/>
      <tableStyleElement dxfId="1"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headerRowCount="0" ref="B7:C24" displayName="Table_1" name="Table_1" id="1">
  <tableColumns count="2">
    <tableColumn name="Column1" id="1"/>
    <tableColumn name="Column2" id="2"/>
  </tableColumns>
  <tableStyleInfo name="4-9-style" showColumnStripes="0" showFirstColumn="1" showLastColumn="1" showRowStripes="1"/>
</table>
</file>

<file path=xl/tables/table2.xml><?xml version="1.0" encoding="utf-8"?>
<table xmlns="http://schemas.openxmlformats.org/spreadsheetml/2006/main" headerRowCount="0" ref="B51:C68" displayName="Table_4" name="Table_4" id="4">
  <tableColumns count="2">
    <tableColumn name="Column1" id="1"/>
    <tableColumn name="Column2" id="2"/>
  </tableColumns>
  <tableStyleInfo name="4-9-style 2" showColumnStripes="0" showFirstColumn="1" showLastColumn="1" showRowStripes="1"/>
</table>
</file>

<file path=xl/tables/table3.xml><?xml version="1.0" encoding="utf-8"?>
<table xmlns="http://schemas.openxmlformats.org/spreadsheetml/2006/main" headerRowCount="0" ref="B7:C25" displayName="Table_2" name="Table_2" id="2">
  <tableColumns count="2">
    <tableColumn name="Column1" id="1"/>
    <tableColumn name="Column2" id="2"/>
  </tableColumns>
  <tableStyleInfo name="6-9-style" showColumnStripes="0" showFirstColumn="1" showLastColumn="1" showRowStripes="1"/>
</table>
</file>

<file path=xl/tables/table4.xml><?xml version="1.0" encoding="utf-8"?>
<table xmlns="http://schemas.openxmlformats.org/spreadsheetml/2006/main" headerRowCount="0" ref="E2:G3" displayName="Table_3" name="Table_3" id="3">
  <tableColumns count="3">
    <tableColumn name="Column1" id="1"/>
    <tableColumn name="Column2" id="2"/>
    <tableColumn name="Column3" id="3"/>
  </tableColumns>
  <tableStyleInfo name="Form đánh giá-style" showColumnStripes="0" showFirstColumn="1" showLastColumn="1" showRowStripes="1"/>
</table>
</file>

<file path=xl/tables/table5.xml><?xml version="1.0" encoding="utf-8"?>
<table xmlns="http://schemas.openxmlformats.org/spreadsheetml/2006/main" headerRowCount="0" ref="B6:E23" displayName="Table_5" name="Table_5" id="5">
  <tableColumns count="4">
    <tableColumn name="Column1" id="1"/>
    <tableColumn name="Column2" id="2"/>
    <tableColumn name="Column3" id="3"/>
    <tableColumn name="Column4" id="4"/>
  </tableColumns>
  <tableStyleInfo name="Form đánh giá-style 2" showColumnStripes="0" showFirstColumn="1" showLastColumn="1" showRowStripes="1"/>
</table>
</file>

<file path=xl/tables/table6.xml><?xml version="1.0" encoding="utf-8"?>
<table xmlns="http://schemas.openxmlformats.org/spreadsheetml/2006/main" headerRowCount="0" ref="J6:K17" displayName="Table_6" name="Table_6" id="6">
  <tableColumns count="2">
    <tableColumn name="Column1" id="1"/>
    <tableColumn name="Column2" id="2"/>
  </tableColumns>
  <tableStyleInfo name="Form đánh giá-style 3" showColumnStripes="0" showFirstColumn="1" showLastColumn="1" showRowStripes="1"/>
</table>
</file>

<file path=xl/tables/table7.xml><?xml version="1.0" encoding="utf-8"?>
<table xmlns="http://schemas.openxmlformats.org/spreadsheetml/2006/main" headerRowCount="0" ref="P6:Q17" displayName="Table_7" name="Table_7" id="7">
  <tableColumns count="2">
    <tableColumn name="Column1" id="1"/>
    <tableColumn name="Column2" id="2"/>
  </tableColumns>
  <tableStyleInfo name="Form đánh giá-style 4" showColumnStripes="0" showFirstColumn="1" showLastColumn="1" showRowStripes="1"/>
</table>
</file>

<file path=xl/tables/table8.xml><?xml version="1.0" encoding="utf-8"?>
<table xmlns="http://schemas.openxmlformats.org/spreadsheetml/2006/main" headerRowCount="0" ref="V6:W17" displayName="Table_8" name="Table_8" id="8">
  <tableColumns count="2">
    <tableColumn name="Column1" id="1"/>
    <tableColumn name="Column2" id="2"/>
  </tableColumns>
  <tableStyleInfo name="Form đánh giá-style 5" showColumnStripes="0" showFirstColumn="1" showLastColumn="1" showRowStripes="1"/>
</table>
</file>

<file path=xl/tables/table9.xml><?xml version="1.0" encoding="utf-8"?>
<table xmlns="http://schemas.openxmlformats.org/spreadsheetml/2006/main" headerRowCount="0" ref="B24:E26" displayName="Table_9" name="Table_9" id="9">
  <tableColumns count="4">
    <tableColumn name="Column1" id="1"/>
    <tableColumn name="Column2" id="2"/>
    <tableColumn name="Column3" id="3"/>
    <tableColumn name="Column4" id="4"/>
  </tableColumns>
  <tableStyleInfo name="Form đánh giá-style 6" showColumnStripes="0" showFirstColumn="1" showLastColumn="1" showRowStripes="1"/>
</table>
</file>

<file path=xl/tables/table10.xml><?xml version="1.0" encoding="utf-8"?>
<table xmlns="http://schemas.openxmlformats.org/spreadsheetml/2006/main" headerRowCount="0" ref="J24:K26" displayName="Table_10" name="Table_10" id="10">
  <tableColumns count="2">
    <tableColumn name="Column1" id="1"/>
    <tableColumn name="Column2" id="2"/>
  </tableColumns>
  <tableStyleInfo name="Form đánh giá-style 7" showColumnStripes="0" showFirstColumn="1" showLastColumn="1" showRowStripes="1"/>
</table>
</file>

<file path=xl/tables/table11.xml><?xml version="1.0" encoding="utf-8"?>
<table xmlns="http://schemas.openxmlformats.org/spreadsheetml/2006/main" headerRowCount="0" ref="P24:Q24" displayName="Table_11" name="Table_11" id="11">
  <tableColumns count="2">
    <tableColumn name="Column1" id="1"/>
    <tableColumn name="Column2" id="2"/>
  </tableColumns>
  <tableStyleInfo name="Form đánh giá-style 8" showColumnStripes="0" showFirstColumn="1" showLastColumn="1" showRowStripes="1"/>
</table>
</file>

<file path=xl/tables/table12.xml><?xml version="1.0" encoding="utf-8"?>
<table xmlns="http://schemas.openxmlformats.org/spreadsheetml/2006/main" headerRowCount="0" ref="V24:W24" displayName="Table_12" name="Table_12" id="12">
  <tableColumns count="2">
    <tableColumn name="Column1" id="1"/>
    <tableColumn name="Column2" id="2"/>
  </tableColumns>
  <tableStyleInfo name="Form đánh giá-style 9" showColumnStripes="0" showFirstColumn="1" showLastColumn="1" showRowStripes="1"/>
</table>
</file>

<file path=xl/tables/table13.xml><?xml version="1.0" encoding="utf-8"?>
<table xmlns="http://schemas.openxmlformats.org/spreadsheetml/2006/main" headerRowCount="0" ref="B35:E35" displayName="Table_13" name="Table_13" id="13">
  <tableColumns count="4">
    <tableColumn name="Column1" id="1"/>
    <tableColumn name="Column2" id="2"/>
    <tableColumn name="Column3" id="3"/>
    <tableColumn name="Column4" id="4"/>
  </tableColumns>
  <tableStyleInfo name="Form đánh giá-style 10" showColumnStripes="0" showFirstColumn="1" showLastColumn="1" showRowStripes="1"/>
</table>
</file>

<file path=xl/tables/table14.xml><?xml version="1.0" encoding="utf-8"?>
<table xmlns="http://schemas.openxmlformats.org/spreadsheetml/2006/main" headerRowCount="0" ref="J35:K35" displayName="Table_14" name="Table_14" id="14">
  <tableColumns count="2">
    <tableColumn name="Column1" id="1"/>
    <tableColumn name="Column2" id="2"/>
  </tableColumns>
  <tableStyleInfo name="Form đánh giá-style 11"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4" Type="http://schemas.openxmlformats.org/officeDocument/2006/relationships/table" Target="../tables/table1.xml"/><Relationship Id="rId5"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0" Type="http://schemas.openxmlformats.org/officeDocument/2006/relationships/table" Target="../tables/table11.xml"/><Relationship Id="rId22" Type="http://schemas.openxmlformats.org/officeDocument/2006/relationships/table" Target="../tables/table13.xml"/><Relationship Id="rId21" Type="http://schemas.openxmlformats.org/officeDocument/2006/relationships/table" Target="../tables/table12.xml"/><Relationship Id="rId13" Type="http://schemas.openxmlformats.org/officeDocument/2006/relationships/table" Target="../tables/table4.xml"/><Relationship Id="rId23" Type="http://schemas.openxmlformats.org/officeDocument/2006/relationships/table" Target="../tables/table14.xml"/><Relationship Id="rId15" Type="http://schemas.openxmlformats.org/officeDocument/2006/relationships/table" Target="../tables/table6.xml"/><Relationship Id="rId14" Type="http://schemas.openxmlformats.org/officeDocument/2006/relationships/table" Target="../tables/table5.xml"/><Relationship Id="rId17" Type="http://schemas.openxmlformats.org/officeDocument/2006/relationships/table" Target="../tables/table8.xml"/><Relationship Id="rId16" Type="http://schemas.openxmlformats.org/officeDocument/2006/relationships/table" Target="../tables/table7.xml"/><Relationship Id="rId19" Type="http://schemas.openxmlformats.org/officeDocument/2006/relationships/table" Target="../tables/table10.xml"/><Relationship Id="rId18"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6.5"/>
    <col customWidth="1" min="3" max="3" width="14.0"/>
    <col customWidth="1" min="4" max="4" width="13.0"/>
    <col customWidth="1" min="5" max="5" width="10.88"/>
    <col customWidth="1" min="6" max="6" width="65.0"/>
    <col customWidth="1" min="7" max="7" width="16.63"/>
    <col customWidth="1" min="8" max="8" width="28.0"/>
    <col customWidth="1" min="9" max="26" width="8.63"/>
  </cols>
  <sheetData>
    <row r="1" ht="25.5" customHeight="1">
      <c r="A1" s="1" t="s">
        <v>0</v>
      </c>
    </row>
    <row r="3">
      <c r="A3" s="3" t="s">
        <v>1</v>
      </c>
      <c r="B3" s="4"/>
      <c r="C3" s="3" t="s">
        <v>2</v>
      </c>
      <c r="D3" s="4"/>
      <c r="E3" s="3" t="s">
        <v>3</v>
      </c>
      <c r="F3" s="4"/>
      <c r="G3" s="3" t="s">
        <v>4</v>
      </c>
      <c r="H3" s="4"/>
    </row>
    <row r="4">
      <c r="A4" s="3" t="s">
        <v>6</v>
      </c>
      <c r="B4" s="4">
        <f>COUNTA(B7:B36)</f>
        <v>18</v>
      </c>
      <c r="C4" s="3" t="s">
        <v>9</v>
      </c>
      <c r="D4" s="4">
        <f>COUNTIF(C7:C36,"Có mặt")+COUNTIF(C7:C36,"Đi muộn")</f>
        <v>14</v>
      </c>
      <c r="E4" s="3" t="s">
        <v>10</v>
      </c>
      <c r="F4" s="4">
        <f>COUNTIF(C7:C36,"Vắng")+COUNTIF(C7:C36,"Có phép")</f>
        <v>4</v>
      </c>
      <c r="G4" s="4"/>
      <c r="H4" s="4"/>
    </row>
    <row r="6" ht="31.5" customHeight="1">
      <c r="A6" s="8" t="s">
        <v>11</v>
      </c>
      <c r="B6" s="8" t="s">
        <v>12</v>
      </c>
      <c r="C6" s="8" t="s">
        <v>13</v>
      </c>
      <c r="D6" s="8" t="s">
        <v>15</v>
      </c>
      <c r="E6" s="8" t="s">
        <v>16</v>
      </c>
      <c r="F6" s="8" t="s">
        <v>17</v>
      </c>
      <c r="G6" s="8" t="s">
        <v>18</v>
      </c>
      <c r="H6" s="8" t="s">
        <v>20</v>
      </c>
    </row>
    <row r="7">
      <c r="A7" s="12">
        <v>1.0</v>
      </c>
      <c r="B7" s="18" t="str">
        <f>IFERROR(IF('[TrungTam_HungCuong_T8.xlsx]LOP_01'!$B$21="","",'[TrungTam_HungCuong_T8.xlsx]LOP_01'!$B$21),"Đào Thị Kim Ngân")</f>
        <v>Đào Thị Kim Ngân</v>
      </c>
      <c r="C7" s="19" t="s">
        <v>25</v>
      </c>
      <c r="D7" s="12"/>
      <c r="E7" s="20">
        <v>5.0</v>
      </c>
      <c r="F7" s="21" t="s">
        <v>27</v>
      </c>
      <c r="G7" s="20">
        <v>5.0</v>
      </c>
      <c r="H7" s="22"/>
    </row>
    <row r="8">
      <c r="A8" s="12">
        <v>2.0</v>
      </c>
      <c r="B8" s="18" t="str">
        <f>IFERROR(IF('[TrungTam_HungCuong_T8.xlsx]LOP_01'!$B$22="","",'[TrungTam_HungCuong_T8.xlsx]LOP_01'!$B$22),"Đặng Phương Anh")</f>
        <v>Đặng Phương Anh</v>
      </c>
      <c r="C8" s="26" t="s">
        <v>25</v>
      </c>
      <c r="D8" s="12"/>
      <c r="E8" s="20">
        <v>4.0</v>
      </c>
      <c r="F8" s="21" t="s">
        <v>29</v>
      </c>
      <c r="G8" s="20">
        <v>5.0</v>
      </c>
      <c r="H8" s="22"/>
    </row>
    <row r="9" ht="35.25" customHeight="1">
      <c r="A9" s="12">
        <v>3.0</v>
      </c>
      <c r="B9" s="18" t="str">
        <f>IFERROR(IF('[TrungTam_HungCuong_T8.xlsx]LOP_01'!$B$23="","",'[TrungTam_HungCuong_T8.xlsx]LOP_01'!$B$23),"Nguyễn Gia Bảo")</f>
        <v>Nguyễn Gia Bảo</v>
      </c>
      <c r="C9" s="19" t="s">
        <v>25</v>
      </c>
      <c r="D9" s="12"/>
      <c r="E9" s="20">
        <v>4.0</v>
      </c>
      <c r="F9" s="21" t="s">
        <v>30</v>
      </c>
      <c r="G9" s="20">
        <v>5.0</v>
      </c>
      <c r="H9" s="22"/>
    </row>
    <row r="10">
      <c r="A10" s="12">
        <v>4.0</v>
      </c>
      <c r="B10" s="18" t="str">
        <f>IFERROR(IF('[TrungTam_HungCuong_T8.xlsx]LOP_01'!$B$24="","",'[TrungTam_HungCuong_T8.xlsx]LOP_01'!$B$24),"Nguyễn Đặng Gia Bảo")</f>
        <v>Nguyễn Đặng Gia Bảo</v>
      </c>
      <c r="C10" s="26" t="s">
        <v>25</v>
      </c>
      <c r="D10" s="12"/>
      <c r="E10" s="20">
        <v>4.0</v>
      </c>
      <c r="F10" s="21" t="s">
        <v>32</v>
      </c>
      <c r="G10" s="20">
        <v>5.0</v>
      </c>
      <c r="H10" s="22"/>
    </row>
    <row r="11">
      <c r="A11" s="12">
        <v>5.0</v>
      </c>
      <c r="B11" s="18" t="str">
        <f>IFERROR(IF('[TrungTam_HungCuong_T8.xlsx]LOP_01'!$B$25="","",'[TrungTam_HungCuong_T8.xlsx]LOP_01'!$B$25),"Tuệ Lâm")</f>
        <v>Tuệ Lâm</v>
      </c>
      <c r="C11" s="19" t="s">
        <v>34</v>
      </c>
      <c r="D11" s="12"/>
      <c r="E11" s="12"/>
      <c r="F11" s="22"/>
      <c r="G11" s="12"/>
      <c r="H11" s="22"/>
    </row>
    <row r="12">
      <c r="A12" s="12">
        <v>6.0</v>
      </c>
      <c r="B12" s="18" t="str">
        <f>IFERROR(IF('[TrungTam_HungCuong_T8.xlsx]LOP_01'!$B$26="","",'[TrungTam_HungCuong_T8.xlsx]LOP_01'!$B$26),"Đặng Khánh Linh")</f>
        <v>Đặng Khánh Linh</v>
      </c>
      <c r="C12" s="26" t="s">
        <v>25</v>
      </c>
      <c r="D12" s="12"/>
      <c r="E12" s="20">
        <v>4.0</v>
      </c>
      <c r="F12" s="21" t="s">
        <v>35</v>
      </c>
      <c r="G12" s="20">
        <v>5.0</v>
      </c>
      <c r="H12" s="22"/>
    </row>
    <row r="13">
      <c r="A13" s="12">
        <v>7.0</v>
      </c>
      <c r="B13" s="18" t="str">
        <f>IFERROR(IF('[TrungTam_HungCuong_T8.xlsx]LOP_01'!$B$27="","",'[TrungTam_HungCuong_T8.xlsx]LOP_01'!$B$27),"Nguyễn Ngọc Diệp")</f>
        <v>Nguyễn Ngọc Diệp</v>
      </c>
      <c r="C13" s="19" t="s">
        <v>25</v>
      </c>
      <c r="D13" s="12"/>
      <c r="E13" s="20">
        <v>5.0</v>
      </c>
      <c r="F13" s="21" t="s">
        <v>36</v>
      </c>
      <c r="G13" s="20">
        <v>5.0</v>
      </c>
      <c r="H13" s="22"/>
    </row>
    <row r="14">
      <c r="A14" s="12">
        <v>8.0</v>
      </c>
      <c r="B14" s="18" t="str">
        <f>IFERROR(IF('[TrungTam_HungCuong_T8.xlsx]LOP_01'!$B$28="","",'[TrungTam_HungCuong_T8.xlsx]LOP_01'!$B$28),"Nguyễn Ngọc Cẩm Tú")</f>
        <v>Nguyễn Ngọc Cẩm Tú</v>
      </c>
      <c r="C14" s="26" t="s">
        <v>25</v>
      </c>
      <c r="D14" s="12"/>
      <c r="E14" s="20">
        <v>4.0</v>
      </c>
      <c r="F14" s="21" t="s">
        <v>26</v>
      </c>
      <c r="G14" s="20">
        <v>5.0</v>
      </c>
      <c r="H14" s="22"/>
    </row>
    <row r="15">
      <c r="A15" s="12">
        <v>9.0</v>
      </c>
      <c r="B15" s="18" t="str">
        <f>IFERROR(IF('[TrungTam_HungCuong_T8.xlsx]LOP_01'!$B$29="","",'[TrungTam_HungCuong_T8.xlsx]LOP_01'!$B$29),"Đào Thế Hoàng")</f>
        <v>Đào Thế Hoàng</v>
      </c>
      <c r="C15" s="19" t="s">
        <v>34</v>
      </c>
      <c r="D15" s="12"/>
      <c r="E15" s="12"/>
      <c r="F15" s="22"/>
      <c r="G15" s="20"/>
      <c r="H15" s="22"/>
    </row>
    <row r="16">
      <c r="A16" s="12">
        <v>10.0</v>
      </c>
      <c r="B16" s="18" t="str">
        <f>IFERROR(IF('[TrungTam_HungCuong_T8.xlsx]LOP_01'!$B$30="","",'[TrungTam_HungCuong_T8.xlsx]LOP_01'!$B$30),"Đào Nguyễn Bình An")</f>
        <v>Đào Nguyễn Bình An</v>
      </c>
      <c r="C16" s="26" t="s">
        <v>25</v>
      </c>
      <c r="D16" s="12"/>
      <c r="E16" s="20">
        <v>5.0</v>
      </c>
      <c r="F16" s="21" t="s">
        <v>45</v>
      </c>
      <c r="G16" s="20">
        <v>5.0</v>
      </c>
      <c r="H16" s="22"/>
    </row>
    <row r="17">
      <c r="A17" s="12">
        <v>11.0</v>
      </c>
      <c r="B17" s="18" t="str">
        <f>IFERROR(IF('[TrungTam_HungCuong_T8.xlsx]LOP_01'!$B$31="","",'[TrungTam_HungCuong_T8.xlsx]LOP_01'!$B$31),"Nguyễn Trà My")</f>
        <v>Nguyễn Trà My</v>
      </c>
      <c r="C17" s="19" t="s">
        <v>25</v>
      </c>
      <c r="D17" s="12"/>
      <c r="E17" s="20">
        <v>4.0</v>
      </c>
      <c r="F17" s="21" t="s">
        <v>47</v>
      </c>
      <c r="G17" s="20">
        <v>5.0</v>
      </c>
      <c r="H17" s="22"/>
    </row>
    <row r="18">
      <c r="A18" s="12">
        <v>12.0</v>
      </c>
      <c r="B18" s="18" t="str">
        <f>IFERROR(IF('[TrungTam_HungCuong_T8.xlsx]LOP_01'!$B$32="","",'[TrungTam_HungCuong_T8.xlsx]LOP_01'!$B$32),"Bảo Dũng")</f>
        <v>Bảo Dũng</v>
      </c>
      <c r="C18" s="26" t="s">
        <v>25</v>
      </c>
      <c r="D18" s="12"/>
      <c r="E18" s="20">
        <v>4.0</v>
      </c>
      <c r="F18" s="21" t="s">
        <v>48</v>
      </c>
      <c r="G18" s="20">
        <v>5.0</v>
      </c>
      <c r="H18" s="22"/>
    </row>
    <row r="19">
      <c r="A19" s="12">
        <v>13.0</v>
      </c>
      <c r="B19" s="18" t="str">
        <f>IFERROR(IF('[TrungTam_HungCuong_T8.xlsx]LOP_01'!$B$33="","",'[TrungTam_HungCuong_T8.xlsx]LOP_01'!$B$33),"Đào Quang Minh")</f>
        <v>Đào Quang Minh</v>
      </c>
      <c r="C19" s="26" t="s">
        <v>34</v>
      </c>
      <c r="D19" s="12"/>
      <c r="E19" s="12"/>
      <c r="F19" s="22"/>
      <c r="G19" s="12"/>
      <c r="H19" s="22"/>
    </row>
    <row r="20">
      <c r="A20" s="12">
        <v>14.0</v>
      </c>
      <c r="B20" s="18" t="str">
        <f>IFERROR(IF('[TrungTam_HungCuong_T8.xlsx]LOP_01'!$B$34="","",'[TrungTam_HungCuong_T8.xlsx]LOP_01'!$B$34),"Duy")</f>
        <v>Duy</v>
      </c>
      <c r="C20" s="26" t="s">
        <v>25</v>
      </c>
      <c r="D20" s="12"/>
      <c r="E20" s="20">
        <v>4.0</v>
      </c>
      <c r="F20" s="21" t="s">
        <v>50</v>
      </c>
      <c r="G20" s="20">
        <v>5.0</v>
      </c>
      <c r="H20" s="22"/>
    </row>
    <row r="21" ht="45.75" customHeight="1">
      <c r="A21" s="12">
        <v>15.0</v>
      </c>
      <c r="B21" s="18" t="str">
        <f>IFERROR(IF('[TrungTam_HungCuong_T8.xlsx]LOP_01'!$B$35="","",'[TrungTam_HungCuong_T8.xlsx]LOP_01'!$B$35),"Phúc")</f>
        <v>Phúc</v>
      </c>
      <c r="C21" s="26" t="s">
        <v>25</v>
      </c>
      <c r="D21" s="12"/>
      <c r="E21" s="20">
        <v>4.0</v>
      </c>
      <c r="F21" s="21" t="s">
        <v>51</v>
      </c>
      <c r="G21" s="20">
        <v>5.0</v>
      </c>
      <c r="H21" s="22"/>
    </row>
    <row r="22" ht="15.75" customHeight="1">
      <c r="A22" s="12">
        <v>16.0</v>
      </c>
      <c r="B22" s="18" t="str">
        <f>IFERROR(IF('[TrungTam_HungCuong_T8.xlsx]LOP_01'!$B$36="","",'[TrungTam_HungCuong_T8.xlsx]LOP_01'!$B$36),"Linh")</f>
        <v>Linh</v>
      </c>
      <c r="C22" s="26" t="s">
        <v>34</v>
      </c>
      <c r="D22" s="12"/>
      <c r="E22" s="12"/>
      <c r="F22" s="22"/>
      <c r="G22" s="12"/>
      <c r="H22" s="22"/>
    </row>
    <row r="23" ht="28.5" customHeight="1">
      <c r="A23" s="12">
        <v>17.0</v>
      </c>
      <c r="B23" s="18" t="str">
        <f>IFERROR(IF('[TrungTam_HungCuong_T8.xlsx]LOP_01'!$B$37="","",'[TrungTam_HungCuong_T8.xlsx]LOP_01'!$B$37),"Hân")</f>
        <v>Hân</v>
      </c>
      <c r="C23" s="26" t="s">
        <v>25</v>
      </c>
      <c r="D23" s="12"/>
      <c r="E23" s="20">
        <v>4.0</v>
      </c>
      <c r="F23" s="21" t="s">
        <v>53</v>
      </c>
      <c r="G23" s="20">
        <v>5.0</v>
      </c>
      <c r="H23" s="22"/>
    </row>
    <row r="24" ht="35.25" customHeight="1">
      <c r="A24" s="12">
        <v>18.0</v>
      </c>
      <c r="B24" s="18" t="str">
        <f>IFERROR(IF('[TrungTam_HungCuong_T8.xlsx]LOP_01'!$B$38="","",'[TrungTam_HungCuong_T8.xlsx]LOP_01'!$B$38),"Kiều Anh")</f>
        <v>Kiều Anh</v>
      </c>
      <c r="C24" s="26" t="s">
        <v>25</v>
      </c>
      <c r="D24" s="12"/>
      <c r="E24" s="20">
        <v>4.0</v>
      </c>
      <c r="F24" s="21" t="s">
        <v>57</v>
      </c>
      <c r="G24" s="20">
        <v>5.0</v>
      </c>
      <c r="H24" s="22"/>
    </row>
    <row r="25" ht="15.75" customHeight="1">
      <c r="A25" s="12">
        <v>19.0</v>
      </c>
      <c r="B25" s="22"/>
      <c r="C25" s="12"/>
      <c r="D25" s="12"/>
      <c r="E25" s="12"/>
      <c r="F25" s="22"/>
      <c r="G25" s="12"/>
      <c r="H25" s="22"/>
    </row>
    <row r="26" ht="15.75" customHeight="1">
      <c r="A26" s="12">
        <v>20.0</v>
      </c>
      <c r="B26" s="22"/>
      <c r="C26" s="12"/>
      <c r="D26" s="12"/>
      <c r="E26" s="12"/>
      <c r="F26" s="22"/>
      <c r="G26" s="12"/>
      <c r="H26" s="22"/>
    </row>
    <row r="27" ht="15.75" customHeight="1">
      <c r="A27" s="12">
        <v>21.0</v>
      </c>
      <c r="B27" s="22"/>
      <c r="C27" s="12"/>
      <c r="D27" s="12"/>
      <c r="E27" s="12"/>
      <c r="F27" s="22"/>
      <c r="G27" s="12"/>
      <c r="H27" s="22"/>
    </row>
    <row r="28" ht="15.75" customHeight="1">
      <c r="A28" s="12">
        <v>22.0</v>
      </c>
      <c r="B28" s="22"/>
      <c r="C28" s="12"/>
      <c r="D28" s="12"/>
      <c r="E28" s="12"/>
      <c r="F28" s="22"/>
      <c r="G28" s="12"/>
      <c r="H28" s="22"/>
    </row>
    <row r="29" ht="15.75" customHeight="1">
      <c r="A29" s="12">
        <v>23.0</v>
      </c>
      <c r="B29" s="22"/>
      <c r="C29" s="12"/>
      <c r="D29" s="12"/>
      <c r="E29" s="12"/>
      <c r="F29" s="22"/>
      <c r="G29" s="12"/>
      <c r="H29" s="22"/>
    </row>
    <row r="30" ht="15.75" customHeight="1">
      <c r="A30" s="12">
        <v>24.0</v>
      </c>
      <c r="B30" s="22"/>
      <c r="C30" s="12"/>
      <c r="D30" s="12"/>
      <c r="E30" s="12"/>
      <c r="F30" s="22"/>
      <c r="G30" s="12"/>
      <c r="H30" s="22"/>
    </row>
    <row r="31" ht="15.75" customHeight="1">
      <c r="A31" s="12">
        <v>25.0</v>
      </c>
      <c r="B31" s="22"/>
      <c r="C31" s="12"/>
      <c r="D31" s="12"/>
      <c r="E31" s="12"/>
      <c r="F31" s="22"/>
      <c r="G31" s="12"/>
      <c r="H31" s="22"/>
    </row>
    <row r="32" ht="15.75" customHeight="1">
      <c r="A32" s="12">
        <v>26.0</v>
      </c>
      <c r="B32" s="22"/>
      <c r="C32" s="12"/>
      <c r="D32" s="12"/>
      <c r="E32" s="12"/>
      <c r="F32" s="22"/>
      <c r="G32" s="12"/>
      <c r="H32" s="22"/>
    </row>
    <row r="33" ht="15.75" customHeight="1">
      <c r="A33" s="12">
        <v>27.0</v>
      </c>
      <c r="B33" s="22"/>
      <c r="C33" s="12"/>
      <c r="D33" s="12"/>
      <c r="E33" s="12"/>
      <c r="F33" s="22"/>
      <c r="G33" s="12"/>
      <c r="H33" s="22"/>
    </row>
    <row r="34" ht="15.75" customHeight="1">
      <c r="A34" s="12">
        <v>28.0</v>
      </c>
      <c r="B34" s="22"/>
      <c r="C34" s="12"/>
      <c r="D34" s="12"/>
      <c r="E34" s="12"/>
      <c r="F34" s="22"/>
      <c r="G34" s="12"/>
      <c r="H34" s="22"/>
    </row>
    <row r="35" ht="15.75" customHeight="1">
      <c r="A35" s="12">
        <v>29.0</v>
      </c>
      <c r="B35" s="22"/>
      <c r="C35" s="12"/>
      <c r="D35" s="12"/>
      <c r="E35" s="12"/>
      <c r="F35" s="22"/>
      <c r="G35" s="12"/>
      <c r="H35" s="22"/>
    </row>
    <row r="36" ht="15.75" customHeight="1">
      <c r="A36" s="12">
        <v>30.0</v>
      </c>
      <c r="B36" s="22"/>
      <c r="C36" s="12"/>
      <c r="D36" s="12"/>
      <c r="E36" s="12"/>
      <c r="F36" s="22"/>
      <c r="G36" s="12"/>
      <c r="H36" s="22"/>
    </row>
    <row r="37" ht="15.75" customHeight="1">
      <c r="E37" s="43"/>
      <c r="F37" s="43"/>
      <c r="G37" s="43"/>
      <c r="H37" s="43"/>
    </row>
    <row r="38" ht="24.0" customHeight="1">
      <c r="A38" s="44" t="s">
        <v>58</v>
      </c>
      <c r="B38" s="45"/>
      <c r="C38" s="46" t="s">
        <v>59</v>
      </c>
      <c r="D38" s="47"/>
      <c r="E38" s="47"/>
      <c r="F38" s="47"/>
      <c r="G38" s="47"/>
      <c r="H38" s="48"/>
    </row>
    <row r="39" ht="24.0" customHeight="1">
      <c r="A39" s="49"/>
      <c r="B39" s="50"/>
      <c r="C39" s="51"/>
      <c r="H39" s="52"/>
    </row>
    <row r="40" ht="24.0" customHeight="1">
      <c r="A40" s="53"/>
      <c r="B40" s="54"/>
      <c r="C40" s="55"/>
      <c r="D40" s="56"/>
      <c r="E40" s="56"/>
      <c r="F40" s="56"/>
      <c r="G40" s="56"/>
      <c r="H40" s="57"/>
    </row>
    <row r="41" ht="15.75" customHeight="1">
      <c r="E41" s="43"/>
      <c r="F41" s="43"/>
      <c r="G41" s="43"/>
      <c r="H41" s="43"/>
    </row>
    <row r="42" ht="24.0" customHeight="1">
      <c r="A42" s="58"/>
    </row>
    <row r="43" ht="15.75" customHeight="1"/>
    <row r="44" ht="15.75" customHeight="1"/>
    <row r="45" ht="15.75" customHeight="1"/>
    <row r="46" ht="15.75" customHeight="1"/>
    <row r="47" ht="15.75" customHeight="1">
      <c r="A47" s="3"/>
      <c r="B47" s="59"/>
      <c r="C47" s="3"/>
      <c r="D47" s="60"/>
      <c r="E47" s="3"/>
      <c r="F47" s="4"/>
      <c r="G47" s="3"/>
      <c r="H47" s="4"/>
    </row>
    <row r="48" ht="15.75" customHeight="1">
      <c r="A48" s="3"/>
      <c r="B48" s="4"/>
      <c r="C48" s="3"/>
      <c r="D48" s="59"/>
      <c r="E48" s="3"/>
      <c r="F48" s="59"/>
      <c r="G48" s="4"/>
      <c r="H48" s="4"/>
    </row>
    <row r="49" ht="15.75" customHeight="1"/>
    <row r="50" ht="15.75" customHeight="1">
      <c r="A50" s="8"/>
      <c r="B50" s="8"/>
      <c r="C50" s="8"/>
      <c r="D50" s="8"/>
      <c r="E50" s="8"/>
      <c r="F50" s="8"/>
      <c r="G50" s="8"/>
      <c r="H50" s="8"/>
    </row>
    <row r="51">
      <c r="A51" s="12"/>
      <c r="B51" s="61"/>
      <c r="C51" s="19"/>
      <c r="D51" s="12"/>
      <c r="E51" s="20"/>
      <c r="F51" s="20"/>
      <c r="G51" s="20"/>
      <c r="H51" s="22"/>
    </row>
    <row r="52">
      <c r="A52" s="12"/>
      <c r="B52" s="61"/>
      <c r="C52" s="26"/>
      <c r="D52" s="12"/>
      <c r="E52" s="20"/>
      <c r="F52" s="20"/>
      <c r="G52" s="20"/>
      <c r="H52" s="22"/>
    </row>
    <row r="53">
      <c r="A53" s="12"/>
      <c r="B53" s="61"/>
      <c r="C53" s="19"/>
      <c r="D53" s="12"/>
      <c r="E53" s="20"/>
      <c r="F53" s="20"/>
      <c r="G53" s="20"/>
      <c r="H53" s="22"/>
    </row>
    <row r="54">
      <c r="A54" s="12"/>
      <c r="B54" s="61"/>
      <c r="C54" s="26"/>
      <c r="D54" s="12"/>
      <c r="E54" s="20"/>
      <c r="F54" s="20"/>
      <c r="G54" s="20"/>
      <c r="H54" s="22"/>
    </row>
    <row r="55">
      <c r="A55" s="12"/>
      <c r="B55" s="61"/>
      <c r="C55" s="19"/>
      <c r="D55" s="12"/>
      <c r="E55" s="20"/>
      <c r="F55" s="20"/>
      <c r="G55" s="20"/>
      <c r="H55" s="22"/>
    </row>
    <row r="56">
      <c r="A56" s="12"/>
      <c r="B56" s="61"/>
      <c r="C56" s="26"/>
      <c r="D56" s="12"/>
      <c r="E56" s="20"/>
      <c r="F56" s="20"/>
      <c r="G56" s="20"/>
      <c r="H56" s="22"/>
    </row>
    <row r="57">
      <c r="A57" s="12"/>
      <c r="B57" s="61"/>
      <c r="C57" s="19"/>
      <c r="D57" s="12"/>
      <c r="E57" s="20"/>
      <c r="F57" s="20"/>
      <c r="G57" s="20"/>
      <c r="H57" s="22"/>
    </row>
    <row r="58">
      <c r="A58" s="12"/>
      <c r="B58" s="61"/>
      <c r="C58" s="26"/>
      <c r="D58" s="12"/>
      <c r="E58" s="20"/>
      <c r="F58" s="20"/>
      <c r="G58" s="20"/>
      <c r="H58" s="22"/>
    </row>
    <row r="59">
      <c r="A59" s="12"/>
      <c r="B59" s="61"/>
      <c r="C59" s="19"/>
      <c r="D59" s="12"/>
      <c r="E59" s="20"/>
      <c r="F59" s="20"/>
      <c r="G59" s="20"/>
      <c r="H59" s="22"/>
    </row>
    <row r="60">
      <c r="A60" s="12"/>
      <c r="B60" s="61"/>
      <c r="C60" s="26"/>
      <c r="D60" s="12"/>
      <c r="E60" s="20"/>
      <c r="F60" s="20"/>
      <c r="G60" s="20"/>
      <c r="H60" s="22"/>
    </row>
    <row r="61">
      <c r="A61" s="12"/>
      <c r="B61" s="61"/>
      <c r="C61" s="19"/>
      <c r="D61" s="12"/>
      <c r="E61" s="20"/>
      <c r="F61" s="20"/>
      <c r="G61" s="20"/>
      <c r="H61" s="22"/>
    </row>
    <row r="62">
      <c r="A62" s="12"/>
      <c r="B62" s="61"/>
      <c r="C62" s="26"/>
      <c r="D62" s="12"/>
      <c r="E62" s="20"/>
      <c r="F62" s="20"/>
      <c r="G62" s="20"/>
      <c r="H62" s="22"/>
    </row>
    <row r="63">
      <c r="A63" s="12"/>
      <c r="B63" s="61"/>
      <c r="C63" s="26"/>
      <c r="D63" s="12"/>
      <c r="E63" s="20"/>
      <c r="F63" s="20"/>
      <c r="G63" s="20"/>
      <c r="H63" s="22"/>
    </row>
    <row r="64">
      <c r="A64" s="12"/>
      <c r="B64" s="61"/>
      <c r="C64" s="26"/>
      <c r="D64" s="12"/>
      <c r="E64" s="20"/>
      <c r="F64" s="20"/>
      <c r="G64" s="20"/>
      <c r="H64" s="22"/>
    </row>
    <row r="65">
      <c r="A65" s="12"/>
      <c r="B65" s="61"/>
      <c r="C65" s="26"/>
      <c r="D65" s="12"/>
      <c r="E65" s="20"/>
      <c r="F65" s="20"/>
      <c r="G65" s="20"/>
      <c r="H65" s="22"/>
    </row>
    <row r="66">
      <c r="A66" s="12"/>
      <c r="B66" s="61"/>
      <c r="C66" s="26"/>
      <c r="D66" s="12"/>
      <c r="E66" s="20"/>
      <c r="F66" s="20"/>
      <c r="G66" s="20"/>
      <c r="H66" s="22"/>
    </row>
    <row r="67">
      <c r="A67" s="12"/>
      <c r="B67" s="61"/>
      <c r="C67" s="26"/>
      <c r="D67" s="12"/>
      <c r="E67" s="20"/>
      <c r="F67" s="20"/>
      <c r="G67" s="20"/>
      <c r="H67" s="22"/>
    </row>
    <row r="68">
      <c r="A68" s="12"/>
      <c r="B68" s="61"/>
      <c r="C68" s="26"/>
      <c r="D68" s="12"/>
      <c r="E68" s="20"/>
      <c r="F68" s="20"/>
      <c r="G68" s="20"/>
      <c r="H68" s="22"/>
    </row>
    <row r="69" ht="15.75" customHeight="1">
      <c r="A69" s="62"/>
      <c r="D69" s="63"/>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H1"/>
    <mergeCell ref="A38:B40"/>
    <mergeCell ref="C38:H40"/>
    <mergeCell ref="A42:H42"/>
    <mergeCell ref="A69:C72"/>
    <mergeCell ref="D69:G72"/>
  </mergeCells>
  <conditionalFormatting sqref="E7:E36 E51:E68">
    <cfRule type="colorScale" priority="1">
      <colorScale>
        <cfvo type="min"/>
        <cfvo type="percentile" val="50"/>
        <cfvo type="max"/>
        <color rgb="FFFCE8E6"/>
        <color rgb="FFFFF4CC"/>
        <color rgb="FFE6F4EA"/>
      </colorScale>
    </cfRule>
  </conditionalFormatting>
  <conditionalFormatting sqref="G7:G36 G51:G68">
    <cfRule type="colorScale" priority="2">
      <colorScale>
        <cfvo type="min"/>
        <cfvo type="percentile" val="50"/>
        <cfvo type="max"/>
        <color rgb="FFFCE8E6"/>
        <color rgb="FFFFF4CC"/>
        <color rgb="FFE6F4EA"/>
      </colorScale>
    </cfRule>
  </conditionalFormatting>
  <dataValidations>
    <dataValidation type="list" allowBlank="1" sqref="E7:E36 G7:G36 E51:E68 G51:G68">
      <formula1>"1,2,3,4,5"</formula1>
    </dataValidation>
    <dataValidation type="list" allowBlank="1" sqref="C7:C36 C51:C68">
      <formula1>"Có mặt,Vắng,Có phép,Đi muộn"</formula1>
    </dataValidation>
  </dataValidations>
  <printOptions/>
  <pageMargins bottom="0.75" footer="0.0" header="0.0" left="0.7" right="0.7" top="0.75"/>
  <pageSetup orientation="landscape"/>
  <drawing r:id="rId1"/>
  <tableParts count="2">
    <tablePart r:id="rId4"/>
    <tablePart r:id="rId5"/>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7.0"/>
    <col customWidth="1" min="2" max="2" width="28.0"/>
    <col customWidth="1" min="3" max="3" width="14.0"/>
    <col customWidth="1" min="4" max="4" width="13.0"/>
    <col customWidth="1" min="5" max="5" width="19.0"/>
    <col customWidth="1" min="6" max="6" width="34.75"/>
    <col customWidth="1" min="7" max="7" width="19.0"/>
    <col customWidth="1" min="8" max="8" width="28.0"/>
    <col customWidth="1" min="9" max="26" width="8.63"/>
  </cols>
  <sheetData>
    <row r="1" ht="25.5" customHeight="1">
      <c r="A1" s="1" t="s">
        <v>0</v>
      </c>
    </row>
    <row r="3">
      <c r="A3" s="3" t="s">
        <v>1</v>
      </c>
      <c r="B3" s="4"/>
      <c r="C3" s="3" t="s">
        <v>2</v>
      </c>
      <c r="D3" s="4"/>
      <c r="E3" s="3" t="s">
        <v>3</v>
      </c>
      <c r="F3" s="4"/>
      <c r="G3" s="3" t="s">
        <v>4</v>
      </c>
      <c r="H3" s="4"/>
    </row>
    <row r="4">
      <c r="A4" s="3" t="s">
        <v>6</v>
      </c>
      <c r="B4" s="4">
        <f>COUNTA(B7:B36)</f>
        <v>19</v>
      </c>
      <c r="C4" s="3" t="s">
        <v>9</v>
      </c>
      <c r="D4" s="4">
        <f>COUNTIF(C7:C36,"Có mặt")+COUNTIF(C7:C36,"Đi muộn")</f>
        <v>18</v>
      </c>
      <c r="E4" s="3" t="s">
        <v>10</v>
      </c>
      <c r="F4" s="4">
        <f>COUNTIF(C7:C36,"Vắng")+COUNTIF(C7:C36,"Có phép")</f>
        <v>1</v>
      </c>
      <c r="G4" s="4"/>
      <c r="H4" s="4"/>
    </row>
    <row r="6" ht="31.5" customHeight="1">
      <c r="A6" s="8" t="s">
        <v>11</v>
      </c>
      <c r="B6" s="8" t="s">
        <v>12</v>
      </c>
      <c r="C6" s="8" t="s">
        <v>13</v>
      </c>
      <c r="D6" s="8" t="s">
        <v>15</v>
      </c>
      <c r="E6" s="8" t="s">
        <v>16</v>
      </c>
      <c r="F6" s="8" t="s">
        <v>17</v>
      </c>
      <c r="G6" s="8" t="s">
        <v>18</v>
      </c>
      <c r="H6" s="13" t="s">
        <v>22</v>
      </c>
    </row>
    <row r="7">
      <c r="A7" s="12">
        <v>1.0</v>
      </c>
      <c r="B7" s="18" t="str">
        <f>IFERROR(IF('[TrungTam_HungCuong_T8.xlsx]LOP_01'!$B$21="","",'[TrungTam_HungCuong_T8.xlsx]LOP_01'!$B$21),"Đào Thị Kim Ngân")</f>
        <v>Đào Thị Kim Ngân</v>
      </c>
      <c r="C7" s="19" t="s">
        <v>25</v>
      </c>
      <c r="D7" s="12"/>
      <c r="E7" s="20">
        <v>5.0</v>
      </c>
      <c r="F7" s="21" t="s">
        <v>26</v>
      </c>
      <c r="G7" s="20">
        <v>5.0</v>
      </c>
      <c r="H7" s="22"/>
    </row>
    <row r="8">
      <c r="A8" s="12">
        <v>2.0</v>
      </c>
      <c r="B8" s="18" t="str">
        <f>IFERROR(IF('[TrungTam_HungCuong_T8.xlsx]LOP_01'!$B$22="","",'[TrungTam_HungCuong_T8.xlsx]LOP_01'!$B$22),"Đặng Phương Anh")</f>
        <v>Đặng Phương Anh</v>
      </c>
      <c r="C8" s="26" t="s">
        <v>25</v>
      </c>
      <c r="D8" s="12"/>
      <c r="E8" s="20">
        <v>4.0</v>
      </c>
      <c r="F8" s="21" t="s">
        <v>28</v>
      </c>
      <c r="G8" s="20">
        <v>5.0</v>
      </c>
      <c r="H8" s="22"/>
    </row>
    <row r="9">
      <c r="A9" s="12">
        <v>3.0</v>
      </c>
      <c r="B9" s="18" t="str">
        <f>IFERROR(IF('[TrungTam_HungCuong_T8.xlsx]LOP_01'!$B$23="","",'[TrungTam_HungCuong_T8.xlsx]LOP_01'!$B$23),"Nguyễn Gia Bảo")</f>
        <v>Nguyễn Gia Bảo</v>
      </c>
      <c r="C9" s="19" t="s">
        <v>25</v>
      </c>
      <c r="D9" s="12"/>
      <c r="E9" s="20">
        <v>4.0</v>
      </c>
      <c r="F9" s="21" t="s">
        <v>31</v>
      </c>
      <c r="G9" s="20">
        <v>5.0</v>
      </c>
      <c r="H9" s="22"/>
    </row>
    <row r="10">
      <c r="A10" s="12">
        <v>4.0</v>
      </c>
      <c r="B10" s="18" t="str">
        <f>IFERROR(IF('[TrungTam_HungCuong_T8.xlsx]LOP_01'!$B$24="","",'[TrungTam_HungCuong_T8.xlsx]LOP_01'!$B$24),"Nguyễn Đặng Gia Bảo")</f>
        <v>Nguyễn Đặng Gia Bảo</v>
      </c>
      <c r="C10" s="26" t="s">
        <v>25</v>
      </c>
      <c r="D10" s="12"/>
      <c r="E10" s="20">
        <v>4.0</v>
      </c>
      <c r="F10" s="21" t="s">
        <v>33</v>
      </c>
      <c r="G10" s="20">
        <v>5.0</v>
      </c>
      <c r="H10" s="22"/>
    </row>
    <row r="11">
      <c r="A11" s="12">
        <v>5.0</v>
      </c>
      <c r="B11" s="18" t="str">
        <f>IFERROR(IF('[TrungTam_HungCuong_T8.xlsx]LOP_01'!$B$25="","",'[TrungTam_HungCuong_T8.xlsx]LOP_01'!$B$25),"Tuệ Lâm")</f>
        <v>Tuệ Lâm</v>
      </c>
      <c r="C11" s="19" t="s">
        <v>34</v>
      </c>
      <c r="D11" s="12"/>
      <c r="E11" s="12"/>
      <c r="F11" s="22"/>
      <c r="G11" s="12"/>
      <c r="H11" s="22"/>
    </row>
    <row r="12">
      <c r="A12" s="12">
        <v>6.0</v>
      </c>
      <c r="B12" s="18" t="str">
        <f>IFERROR(IF('[TrungTam_HungCuong_T8.xlsx]LOP_01'!$B$26="","",'[TrungTam_HungCuong_T8.xlsx]LOP_01'!$B$26),"Đặng Khánh Linh")</f>
        <v>Đặng Khánh Linh</v>
      </c>
      <c r="C12" s="26" t="s">
        <v>25</v>
      </c>
      <c r="D12" s="12"/>
      <c r="E12" s="20">
        <v>4.0</v>
      </c>
      <c r="F12" s="21" t="s">
        <v>35</v>
      </c>
      <c r="G12" s="20">
        <v>5.0</v>
      </c>
      <c r="H12" s="22"/>
    </row>
    <row r="13">
      <c r="A13" s="12">
        <v>7.0</v>
      </c>
      <c r="B13" s="18" t="str">
        <f>IFERROR(IF('[TrungTam_HungCuong_T8.xlsx]LOP_01'!$B$27="","",'[TrungTam_HungCuong_T8.xlsx]LOP_01'!$B$27),"Nguyễn Ngọc Diệp")</f>
        <v>Nguyễn Ngọc Diệp</v>
      </c>
      <c r="C13" s="19" t="s">
        <v>25</v>
      </c>
      <c r="D13" s="12"/>
      <c r="E13" s="20">
        <v>5.0</v>
      </c>
      <c r="F13" s="21" t="s">
        <v>39</v>
      </c>
      <c r="G13" s="20">
        <v>5.0</v>
      </c>
      <c r="H13" s="21"/>
    </row>
    <row r="14">
      <c r="A14" s="12">
        <v>8.0</v>
      </c>
      <c r="B14" s="18" t="str">
        <f>IFERROR(IF('[TrungTam_HungCuong_T8.xlsx]LOP_01'!$B$28="","",'[TrungTam_HungCuong_T8.xlsx]LOP_01'!$B$28),"Nguyễn Ngọc Cẩm Tú")</f>
        <v>Nguyễn Ngọc Cẩm Tú</v>
      </c>
      <c r="C14" s="26" t="s">
        <v>25</v>
      </c>
      <c r="D14" s="12"/>
      <c r="E14" s="20">
        <v>4.0</v>
      </c>
      <c r="F14" s="21" t="s">
        <v>41</v>
      </c>
      <c r="G14" s="20">
        <v>5.0</v>
      </c>
      <c r="H14" s="22"/>
    </row>
    <row r="15">
      <c r="A15" s="12">
        <v>9.0</v>
      </c>
      <c r="B15" s="18" t="str">
        <f>IFERROR(IF('[TrungTam_HungCuong_T8.xlsx]LOP_01'!$B$29="","",'[TrungTam_HungCuong_T8.xlsx]LOP_01'!$B$29),"Đào Thế Hoàng")</f>
        <v>Đào Thế Hoàng</v>
      </c>
      <c r="C15" s="19" t="s">
        <v>25</v>
      </c>
      <c r="D15" s="12"/>
      <c r="E15" s="20">
        <v>4.0</v>
      </c>
      <c r="F15" s="21" t="s">
        <v>44</v>
      </c>
      <c r="G15" s="20">
        <v>5.0</v>
      </c>
      <c r="H15" s="22"/>
    </row>
    <row r="16">
      <c r="A16" s="12">
        <v>10.0</v>
      </c>
      <c r="B16" s="18" t="str">
        <f>IFERROR(IF('[TrungTam_HungCuong_T8.xlsx]LOP_01'!$B$30="","",'[TrungTam_HungCuong_T8.xlsx]LOP_01'!$B$30),"Đào Nguyễn Bình An")</f>
        <v>Đào Nguyễn Bình An</v>
      </c>
      <c r="C16" s="26" t="s">
        <v>25</v>
      </c>
      <c r="D16" s="12"/>
      <c r="E16" s="20">
        <v>5.0</v>
      </c>
      <c r="F16" s="21" t="s">
        <v>46</v>
      </c>
      <c r="G16" s="20">
        <v>5.0</v>
      </c>
      <c r="H16" s="22"/>
    </row>
    <row r="17">
      <c r="A17" s="12">
        <v>11.0</v>
      </c>
      <c r="B17" s="18" t="str">
        <f>IFERROR(IF('[TrungTam_HungCuong_T8.xlsx]LOP_01'!$B$31="","",'[TrungTam_HungCuong_T8.xlsx]LOP_01'!$B$31),"Nguyễn Trà My")</f>
        <v>Nguyễn Trà My</v>
      </c>
      <c r="C17" s="19" t="s">
        <v>25</v>
      </c>
      <c r="D17" s="12"/>
      <c r="E17" s="20">
        <v>4.0</v>
      </c>
      <c r="F17" s="21" t="s">
        <v>47</v>
      </c>
      <c r="G17" s="20">
        <v>5.0</v>
      </c>
    </row>
    <row r="18">
      <c r="A18" s="12">
        <v>12.0</v>
      </c>
      <c r="B18" s="18" t="str">
        <f>IFERROR(IF('[TrungTam_HungCuong_T8.xlsx]LOP_01'!$B$32="","",'[TrungTam_HungCuong_T8.xlsx]LOP_01'!$B$32),"Bảo Dũng")</f>
        <v>Bảo Dũng</v>
      </c>
      <c r="C18" s="26" t="s">
        <v>25</v>
      </c>
      <c r="D18" s="12"/>
      <c r="E18" s="20">
        <v>4.0</v>
      </c>
      <c r="F18" s="21" t="s">
        <v>48</v>
      </c>
      <c r="G18" s="20">
        <v>5.0</v>
      </c>
      <c r="H18" s="22"/>
    </row>
    <row r="19">
      <c r="A19" s="12">
        <v>13.0</v>
      </c>
      <c r="B19" s="18" t="str">
        <f>IFERROR(IF('[TrungTam_HungCuong_T8.xlsx]LOP_01'!$B$33="","",'[TrungTam_HungCuong_T8.xlsx]LOP_01'!$B$33),"Đào Quang Minh")</f>
        <v>Đào Quang Minh</v>
      </c>
      <c r="C19" s="26" t="s">
        <v>25</v>
      </c>
      <c r="D19" s="12"/>
      <c r="E19" s="20">
        <v>4.0</v>
      </c>
      <c r="F19" s="21" t="s">
        <v>49</v>
      </c>
      <c r="G19" s="20">
        <v>5.0</v>
      </c>
      <c r="H19" s="22"/>
    </row>
    <row r="20">
      <c r="A20" s="12">
        <v>14.0</v>
      </c>
      <c r="B20" s="18" t="str">
        <f>IFERROR(IF('[TrungTam_HungCuong_T8.xlsx]LOP_01'!$B$34="","",'[TrungTam_HungCuong_T8.xlsx]LOP_01'!$B$34),"Duy")</f>
        <v>Duy</v>
      </c>
      <c r="C20" s="26" t="s">
        <v>25</v>
      </c>
      <c r="D20" s="12"/>
      <c r="E20" s="20">
        <v>4.0</v>
      </c>
      <c r="F20" s="21" t="s">
        <v>50</v>
      </c>
      <c r="G20" s="20">
        <v>5.0</v>
      </c>
      <c r="H20" s="22"/>
    </row>
    <row r="21" ht="78.75" customHeight="1">
      <c r="A21" s="12">
        <v>15.0</v>
      </c>
      <c r="B21" s="18" t="str">
        <f>IFERROR(IF('[TrungTam_HungCuong_T8.xlsx]LOP_01'!$B$35="","",'[TrungTam_HungCuong_T8.xlsx]LOP_01'!$B$35),"Phúc")</f>
        <v>Phúc</v>
      </c>
      <c r="C21" s="26" t="s">
        <v>25</v>
      </c>
      <c r="D21" s="12"/>
      <c r="E21" s="20">
        <v>4.0</v>
      </c>
      <c r="F21" s="21" t="s">
        <v>51</v>
      </c>
      <c r="G21" s="21">
        <v>5.0</v>
      </c>
      <c r="H21" s="22"/>
    </row>
    <row r="22" ht="83.25" customHeight="1">
      <c r="A22" s="12">
        <v>16.0</v>
      </c>
      <c r="B22" s="18" t="str">
        <f>IFERROR(IF('[TrungTam_HungCuong_T8.xlsx]LOP_01'!$B$36="","",'[TrungTam_HungCuong_T8.xlsx]LOP_01'!$B$36),"Linh")</f>
        <v>Linh</v>
      </c>
      <c r="C22" s="26" t="s">
        <v>25</v>
      </c>
      <c r="D22" s="12"/>
      <c r="E22" s="20">
        <v>4.0</v>
      </c>
      <c r="F22" s="21" t="s">
        <v>52</v>
      </c>
      <c r="G22" s="20">
        <v>5.0</v>
      </c>
      <c r="H22" s="22"/>
    </row>
    <row r="23" ht="60.75" customHeight="1">
      <c r="A23" s="12">
        <v>17.0</v>
      </c>
      <c r="B23" s="18" t="str">
        <f>IFERROR(IF('[TrungTam_HungCuong_T8.xlsx]LOP_01'!$B$37="","",'[TrungTam_HungCuong_T8.xlsx]LOP_01'!$B$37),"Hân")</f>
        <v>Hân</v>
      </c>
      <c r="C23" s="26" t="s">
        <v>25</v>
      </c>
      <c r="D23" s="12"/>
      <c r="E23" s="20">
        <v>4.0</v>
      </c>
      <c r="F23" s="21" t="s">
        <v>53</v>
      </c>
      <c r="G23" s="20">
        <v>5.0</v>
      </c>
      <c r="H23" s="22"/>
    </row>
    <row r="24" ht="56.25" customHeight="1">
      <c r="A24" s="12">
        <v>18.0</v>
      </c>
      <c r="B24" s="18" t="str">
        <f>IFERROR(IF('[TrungTam_HungCuong_T8.xlsx]LOP_01'!$B$38="","",'[TrungTam_HungCuong_T8.xlsx]LOP_01'!$B$38),"Kiều Anh")</f>
        <v>Kiều Anh</v>
      </c>
      <c r="C24" s="26" t="s">
        <v>25</v>
      </c>
      <c r="D24" s="12"/>
      <c r="E24" s="20">
        <v>4.0</v>
      </c>
      <c r="F24" s="21" t="s">
        <v>54</v>
      </c>
      <c r="G24" s="20">
        <v>5.0</v>
      </c>
      <c r="H24" s="22"/>
    </row>
    <row r="25" ht="72.0" customHeight="1">
      <c r="A25" s="12">
        <v>19.0</v>
      </c>
      <c r="B25" s="42" t="s">
        <v>55</v>
      </c>
      <c r="C25" s="26" t="s">
        <v>25</v>
      </c>
      <c r="D25" s="12"/>
      <c r="E25" s="20">
        <v>4.0</v>
      </c>
      <c r="F25" s="21" t="s">
        <v>56</v>
      </c>
      <c r="G25" s="20">
        <v>5.0</v>
      </c>
      <c r="H25" s="22"/>
    </row>
    <row r="26" ht="15.75" customHeight="1">
      <c r="A26" s="12">
        <v>20.0</v>
      </c>
      <c r="B26" s="22"/>
      <c r="C26" s="12"/>
      <c r="D26" s="12"/>
      <c r="E26" s="12"/>
      <c r="F26" s="22"/>
      <c r="G26" s="12"/>
      <c r="H26" s="22"/>
    </row>
    <row r="27" ht="15.75" customHeight="1">
      <c r="A27" s="12">
        <v>21.0</v>
      </c>
      <c r="B27" s="22"/>
      <c r="C27" s="12"/>
      <c r="D27" s="12"/>
      <c r="E27" s="12"/>
      <c r="F27" s="22"/>
      <c r="G27" s="12"/>
      <c r="H27" s="22"/>
    </row>
    <row r="28" ht="15.75" customHeight="1">
      <c r="A28" s="12">
        <v>22.0</v>
      </c>
      <c r="B28" s="22"/>
      <c r="C28" s="12"/>
      <c r="D28" s="12"/>
      <c r="E28" s="12"/>
      <c r="F28" s="22"/>
      <c r="G28" s="12"/>
      <c r="H28" s="22"/>
    </row>
    <row r="29" ht="15.75" customHeight="1">
      <c r="A29" s="12">
        <v>23.0</v>
      </c>
      <c r="B29" s="22"/>
      <c r="C29" s="12"/>
      <c r="D29" s="12"/>
      <c r="E29" s="12"/>
      <c r="F29" s="22"/>
      <c r="G29" s="12"/>
      <c r="H29" s="22"/>
    </row>
    <row r="30" ht="15.75" customHeight="1">
      <c r="A30" s="12">
        <v>24.0</v>
      </c>
      <c r="B30" s="22"/>
      <c r="C30" s="12"/>
      <c r="D30" s="12"/>
      <c r="E30" s="12"/>
      <c r="F30" s="22"/>
      <c r="G30" s="12"/>
      <c r="H30" s="22"/>
    </row>
    <row r="31" ht="15.75" customHeight="1">
      <c r="A31" s="12">
        <v>25.0</v>
      </c>
      <c r="B31" s="22"/>
      <c r="C31" s="12"/>
      <c r="D31" s="12"/>
      <c r="E31" s="12"/>
      <c r="F31" s="22"/>
      <c r="G31" s="12"/>
      <c r="H31" s="22"/>
    </row>
    <row r="32" ht="15.75" customHeight="1">
      <c r="A32" s="12">
        <v>26.0</v>
      </c>
      <c r="B32" s="22"/>
      <c r="C32" s="12"/>
      <c r="D32" s="12"/>
      <c r="E32" s="12"/>
      <c r="F32" s="22"/>
      <c r="G32" s="12"/>
      <c r="H32" s="22"/>
    </row>
    <row r="33" ht="15.75" customHeight="1">
      <c r="A33" s="12">
        <v>27.0</v>
      </c>
      <c r="B33" s="22"/>
      <c r="C33" s="12"/>
      <c r="D33" s="12"/>
      <c r="E33" s="12"/>
      <c r="F33" s="22"/>
      <c r="G33" s="12"/>
      <c r="H33" s="22"/>
    </row>
    <row r="34" ht="15.75" customHeight="1">
      <c r="A34" s="12">
        <v>28.0</v>
      </c>
      <c r="B34" s="22"/>
      <c r="C34" s="12"/>
      <c r="D34" s="12"/>
      <c r="E34" s="12"/>
      <c r="F34" s="22"/>
      <c r="G34" s="12"/>
      <c r="H34" s="22"/>
    </row>
    <row r="35" ht="15.75" customHeight="1">
      <c r="A35" s="12">
        <v>29.0</v>
      </c>
      <c r="B35" s="22"/>
      <c r="C35" s="12"/>
      <c r="D35" s="12"/>
      <c r="E35" s="12"/>
      <c r="F35" s="22"/>
      <c r="G35" s="12"/>
      <c r="H35" s="22"/>
    </row>
    <row r="36" ht="15.75" customHeight="1">
      <c r="A36" s="12">
        <v>30.0</v>
      </c>
      <c r="B36" s="22"/>
      <c r="C36" s="12"/>
      <c r="D36" s="12"/>
      <c r="E36" s="12"/>
      <c r="F36" s="22"/>
      <c r="G36" s="12"/>
      <c r="H36" s="22"/>
    </row>
    <row r="37" ht="15.75" customHeight="1">
      <c r="E37" s="43"/>
      <c r="F37" s="43"/>
      <c r="G37" s="43"/>
      <c r="H37" s="43"/>
    </row>
    <row r="38" ht="24.0" customHeight="1">
      <c r="A38" s="44" t="s">
        <v>58</v>
      </c>
      <c r="B38" s="45"/>
      <c r="C38" s="46" t="s">
        <v>59</v>
      </c>
      <c r="D38" s="47"/>
      <c r="E38" s="47"/>
      <c r="F38" s="47"/>
      <c r="G38" s="47"/>
      <c r="H38" s="48"/>
    </row>
    <row r="39" ht="24.0" customHeight="1">
      <c r="A39" s="49"/>
      <c r="B39" s="50"/>
      <c r="C39" s="51"/>
      <c r="H39" s="52"/>
    </row>
    <row r="40" ht="24.0" customHeight="1">
      <c r="A40" s="53"/>
      <c r="B40" s="54"/>
      <c r="C40" s="55"/>
      <c r="D40" s="56"/>
      <c r="E40" s="56"/>
      <c r="F40" s="56"/>
      <c r="G40" s="56"/>
      <c r="H40" s="57"/>
    </row>
    <row r="41" ht="15.75" customHeight="1">
      <c r="E41" s="43"/>
      <c r="F41" s="43"/>
      <c r="G41" s="43"/>
      <c r="H41" s="43"/>
    </row>
    <row r="42" ht="24.0" customHeight="1">
      <c r="A42" s="58" t="s">
        <v>60</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H1"/>
    <mergeCell ref="A38:B40"/>
    <mergeCell ref="C38:H40"/>
    <mergeCell ref="A42:H42"/>
  </mergeCells>
  <conditionalFormatting sqref="E7:E36">
    <cfRule type="colorScale" priority="1">
      <colorScale>
        <cfvo type="min"/>
        <cfvo type="percentile" val="50"/>
        <cfvo type="max"/>
        <color rgb="FFFCE8E6"/>
        <color rgb="FFFFF4CC"/>
        <color rgb="FFE6F4EA"/>
      </colorScale>
    </cfRule>
  </conditionalFormatting>
  <conditionalFormatting sqref="G7:G20 G22:G36">
    <cfRule type="colorScale" priority="2">
      <colorScale>
        <cfvo type="min"/>
        <cfvo type="percentile" val="50"/>
        <cfvo type="max"/>
        <color rgb="FFFCE8E6"/>
        <color rgb="FFFFF4CC"/>
        <color rgb="FFE6F4EA"/>
      </colorScale>
    </cfRule>
  </conditionalFormatting>
  <dataValidations>
    <dataValidation type="list" allowBlank="1" sqref="G7:G20 E7:E36 G22:G36">
      <formula1>"1,2,3,4,5"</formula1>
    </dataValidation>
    <dataValidation type="list" allowBlank="1" sqref="C7:C36">
      <formula1>"Có mặt,Vắng,Có phép,Đi muộn"</formula1>
    </dataValidation>
  </dataValidations>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xSplit="3.0" topLeftCell="D1" activePane="topRight" state="frozen"/>
      <selection activeCell="E2" sqref="E2" pane="topRight"/>
    </sheetView>
  </sheetViews>
  <sheetFormatPr customHeight="1" defaultColWidth="12.63" defaultRowHeight="15.0"/>
  <cols>
    <col customWidth="1" min="2" max="2" width="18.88"/>
    <col customWidth="1" min="8" max="8" width="64.5"/>
    <col customWidth="1" min="14" max="14" width="72.38"/>
    <col customWidth="1" min="20" max="20" width="71.25"/>
    <col customWidth="1" min="26" max="26" width="80.0"/>
  </cols>
  <sheetData>
    <row r="1">
      <c r="A1" s="2"/>
      <c r="B1" s="2"/>
      <c r="C1" s="2"/>
      <c r="D1" s="2"/>
      <c r="E1" s="2"/>
      <c r="F1" s="2"/>
      <c r="G1" s="2"/>
      <c r="H1" s="5" t="s">
        <v>3</v>
      </c>
      <c r="I1" s="6" t="s">
        <v>5</v>
      </c>
      <c r="J1" s="2"/>
      <c r="K1" s="2"/>
      <c r="L1" s="2"/>
      <c r="M1" s="2"/>
      <c r="N1" s="5" t="s">
        <v>3</v>
      </c>
      <c r="O1" s="6" t="s">
        <v>7</v>
      </c>
      <c r="P1" s="2"/>
      <c r="Q1" s="2"/>
      <c r="R1" s="2"/>
      <c r="S1" s="2"/>
      <c r="T1" s="5" t="s">
        <v>3</v>
      </c>
      <c r="U1" s="6" t="s">
        <v>5</v>
      </c>
      <c r="V1" s="2"/>
      <c r="W1" s="2"/>
      <c r="X1" s="2"/>
      <c r="Y1" s="2"/>
      <c r="Z1" s="5" t="s">
        <v>3</v>
      </c>
      <c r="AA1" s="6" t="s">
        <v>8</v>
      </c>
      <c r="AB1" s="7"/>
      <c r="AC1" s="7"/>
      <c r="AD1" s="7"/>
      <c r="AE1" s="7"/>
      <c r="AF1" s="7"/>
      <c r="AG1" s="7"/>
      <c r="AH1" s="7"/>
      <c r="AI1" s="7"/>
      <c r="AJ1" s="7"/>
      <c r="AK1" s="7"/>
      <c r="AL1" s="7"/>
      <c r="AM1" s="7"/>
      <c r="AN1" s="7"/>
      <c r="AO1" s="7"/>
      <c r="AP1" s="7"/>
      <c r="AQ1" s="7"/>
      <c r="AR1" s="7"/>
      <c r="AS1" s="7"/>
    </row>
    <row r="2">
      <c r="A2" s="2"/>
      <c r="B2" s="2"/>
      <c r="C2" s="2"/>
      <c r="D2" s="5" t="s">
        <v>1</v>
      </c>
      <c r="E2" s="9">
        <v>6.0</v>
      </c>
      <c r="F2" s="10" t="s">
        <v>14</v>
      </c>
      <c r="G2" s="11"/>
      <c r="H2" s="5" t="s">
        <v>19</v>
      </c>
      <c r="I2" s="6" t="s">
        <v>21</v>
      </c>
      <c r="J2" s="5" t="s">
        <v>1</v>
      </c>
      <c r="K2" s="14">
        <v>6.0</v>
      </c>
      <c r="L2" s="15" t="s">
        <v>14</v>
      </c>
      <c r="M2" s="16"/>
      <c r="N2" s="5" t="s">
        <v>19</v>
      </c>
      <c r="O2" s="6" t="s">
        <v>21</v>
      </c>
      <c r="P2" s="5" t="s">
        <v>1</v>
      </c>
      <c r="Q2" s="17">
        <v>9.0</v>
      </c>
      <c r="R2" s="15" t="s">
        <v>14</v>
      </c>
      <c r="S2" s="16"/>
      <c r="T2" s="5" t="s">
        <v>19</v>
      </c>
      <c r="U2" s="6" t="s">
        <v>23</v>
      </c>
      <c r="V2" s="5" t="s">
        <v>1</v>
      </c>
      <c r="W2" s="17">
        <v>9.0</v>
      </c>
      <c r="X2" s="15" t="s">
        <v>14</v>
      </c>
      <c r="Y2" s="16"/>
      <c r="Z2" s="5" t="s">
        <v>19</v>
      </c>
      <c r="AA2" s="6" t="s">
        <v>24</v>
      </c>
      <c r="AB2" s="7"/>
      <c r="AC2" s="7"/>
      <c r="AD2" s="7"/>
      <c r="AE2" s="7"/>
      <c r="AF2" s="7"/>
      <c r="AG2" s="7"/>
      <c r="AH2" s="7"/>
      <c r="AI2" s="7"/>
      <c r="AJ2" s="7"/>
      <c r="AK2" s="7"/>
      <c r="AL2" s="7"/>
      <c r="AM2" s="7"/>
      <c r="AN2" s="7"/>
      <c r="AO2" s="7"/>
      <c r="AP2" s="7"/>
      <c r="AQ2" s="7"/>
      <c r="AR2" s="7"/>
      <c r="AS2" s="7"/>
    </row>
    <row r="3">
      <c r="A3" s="2"/>
      <c r="B3" s="2"/>
      <c r="C3" s="2"/>
      <c r="D3" s="5" t="s">
        <v>6</v>
      </c>
      <c r="E3" s="23">
        <f>COUNTA(D6:D28)</f>
        <v>18</v>
      </c>
      <c r="F3" s="24" t="s">
        <v>9</v>
      </c>
      <c r="G3" s="23">
        <f>COUNTA(I6:I28)</f>
        <v>14</v>
      </c>
      <c r="H3" s="25" t="s">
        <v>10</v>
      </c>
      <c r="I3" s="27">
        <f>E3-G3</f>
        <v>4</v>
      </c>
      <c r="J3" s="5" t="s">
        <v>6</v>
      </c>
      <c r="K3" s="28">
        <f>COUNTA(M6:M28)</f>
        <v>18</v>
      </c>
      <c r="L3" s="29" t="s">
        <v>9</v>
      </c>
      <c r="M3" s="30">
        <f>COUNTIF(K6:K28,"Có mặt")+COUNTIF(K6:K28,"Đi muộn")</f>
        <v>0</v>
      </c>
      <c r="N3" s="5" t="s">
        <v>10</v>
      </c>
      <c r="O3" s="27">
        <f>COUNTIF(J6:J28,"Vắng Có phép")+COUNTIF(J6:J28,"Có phép")</f>
        <v>0</v>
      </c>
      <c r="P3" s="5" t="s">
        <v>6</v>
      </c>
      <c r="Q3" s="28">
        <f>COUNTA(S6:S28)</f>
        <v>0</v>
      </c>
      <c r="R3" s="29" t="s">
        <v>9</v>
      </c>
      <c r="S3" s="30">
        <f>COUNTIF(Q6:Q28,"Có mặt")+COUNTIF(Q6:Q28,"Đi muộn")</f>
        <v>0</v>
      </c>
      <c r="T3" s="5" t="s">
        <v>10</v>
      </c>
      <c r="U3" s="27">
        <f>COUNTIF(P6:P28,"Vắng Có phép")+COUNTIF(P6:P28,"Có phép")</f>
        <v>0</v>
      </c>
      <c r="V3" s="5" t="s">
        <v>6</v>
      </c>
      <c r="W3" s="28">
        <f>COUNTA(Y6:Y28)</f>
        <v>0</v>
      </c>
      <c r="X3" s="29" t="s">
        <v>9</v>
      </c>
      <c r="Y3" s="30">
        <f>COUNTIF(W6:W28,"Có mặt")+COUNTIF(W6:W28,"Đi muộn")</f>
        <v>0</v>
      </c>
      <c r="Z3" s="5" t="s">
        <v>10</v>
      </c>
      <c r="AA3" s="27">
        <f>COUNTIF(V6:V28,"Vắng Có phép")+COUNTIF(V6:V28,"Có phép")</f>
        <v>0</v>
      </c>
      <c r="AB3" s="31"/>
      <c r="AC3" s="31"/>
      <c r="AD3" s="31"/>
      <c r="AE3" s="31"/>
      <c r="AF3" s="31"/>
      <c r="AG3" s="31"/>
      <c r="AH3" s="31"/>
      <c r="AI3" s="31"/>
      <c r="AJ3" s="31"/>
      <c r="AK3" s="31"/>
      <c r="AL3" s="31"/>
      <c r="AM3" s="31"/>
      <c r="AN3" s="31"/>
      <c r="AO3" s="31"/>
      <c r="AP3" s="31"/>
      <c r="AQ3" s="31"/>
      <c r="AR3" s="31"/>
      <c r="AS3" s="31"/>
    </row>
    <row r="4">
      <c r="A4" s="32" t="s">
        <v>11</v>
      </c>
      <c r="B4" s="33" t="s">
        <v>37</v>
      </c>
      <c r="C4" s="34" t="s">
        <v>38</v>
      </c>
      <c r="D4" s="35" t="s">
        <v>40</v>
      </c>
      <c r="I4" s="36"/>
      <c r="J4" s="35" t="s">
        <v>40</v>
      </c>
      <c r="O4" s="36"/>
      <c r="P4" s="35" t="s">
        <v>40</v>
      </c>
      <c r="U4" s="36"/>
      <c r="V4" s="35" t="s">
        <v>40</v>
      </c>
      <c r="AA4" s="36"/>
      <c r="AB4" s="37"/>
      <c r="AC4" s="37"/>
      <c r="AD4" s="37"/>
      <c r="AE4" s="37"/>
      <c r="AF4" s="37"/>
      <c r="AG4" s="37"/>
      <c r="AH4" s="37"/>
      <c r="AI4" s="37"/>
      <c r="AJ4" s="37"/>
      <c r="AK4" s="37"/>
      <c r="AL4" s="37"/>
      <c r="AM4" s="37"/>
      <c r="AN4" s="37"/>
      <c r="AO4" s="37"/>
      <c r="AP4" s="37"/>
      <c r="AQ4" s="37"/>
      <c r="AR4" s="37"/>
      <c r="AS4" s="37"/>
    </row>
    <row r="5">
      <c r="D5" s="32" t="s">
        <v>13</v>
      </c>
      <c r="E5" s="32" t="s">
        <v>42</v>
      </c>
      <c r="F5" s="32" t="s">
        <v>15</v>
      </c>
      <c r="G5" s="32" t="s">
        <v>16</v>
      </c>
      <c r="H5" s="32" t="s">
        <v>43</v>
      </c>
      <c r="I5" s="38" t="s">
        <v>18</v>
      </c>
      <c r="J5" s="32" t="s">
        <v>13</v>
      </c>
      <c r="K5" s="32" t="s">
        <v>42</v>
      </c>
      <c r="L5" s="32" t="s">
        <v>15</v>
      </c>
      <c r="M5" s="32" t="s">
        <v>16</v>
      </c>
      <c r="N5" s="32" t="s">
        <v>43</v>
      </c>
      <c r="O5" s="38" t="s">
        <v>18</v>
      </c>
      <c r="P5" s="32" t="s">
        <v>13</v>
      </c>
      <c r="Q5" s="32" t="s">
        <v>42</v>
      </c>
      <c r="R5" s="32" t="s">
        <v>15</v>
      </c>
      <c r="S5" s="32" t="s">
        <v>16</v>
      </c>
      <c r="T5" s="32" t="s">
        <v>43</v>
      </c>
      <c r="U5" s="38" t="s">
        <v>18</v>
      </c>
      <c r="V5" s="32" t="s">
        <v>13</v>
      </c>
      <c r="W5" s="32" t="s">
        <v>42</v>
      </c>
      <c r="X5" s="32" t="s">
        <v>15</v>
      </c>
      <c r="Y5" s="32" t="s">
        <v>16</v>
      </c>
      <c r="Z5" s="32" t="s">
        <v>43</v>
      </c>
      <c r="AA5" s="38" t="s">
        <v>18</v>
      </c>
      <c r="AB5" s="32"/>
      <c r="AC5" s="32"/>
      <c r="AD5" s="32"/>
      <c r="AE5" s="32"/>
      <c r="AF5" s="32"/>
      <c r="AG5" s="32"/>
      <c r="AH5" s="32"/>
      <c r="AI5" s="32"/>
      <c r="AJ5" s="32"/>
      <c r="AK5" s="32"/>
      <c r="AL5" s="32"/>
      <c r="AM5" s="32"/>
      <c r="AN5" s="32"/>
      <c r="AO5" s="32"/>
      <c r="AP5" s="32"/>
      <c r="AQ5" s="32"/>
      <c r="AR5" s="32"/>
      <c r="AS5" s="32"/>
    </row>
    <row r="6">
      <c r="A6" s="39">
        <v>1.0</v>
      </c>
      <c r="B6" s="18" t="str">
        <f>IFERROR(IF('[TrungTam_HungCuong_T8.xlsx]LOP_01'!$B$21="","",'[TrungTam_HungCuong_T8.xlsx]LOP_01'!$B$21),"Đào Thị Kim Ngân")</f>
        <v>Đào Thị Kim Ngân</v>
      </c>
      <c r="C6" s="11"/>
      <c r="D6" s="19" t="s">
        <v>25</v>
      </c>
      <c r="E6" s="40">
        <v>2.0</v>
      </c>
      <c r="F6" s="2"/>
      <c r="G6" s="20">
        <v>5.0</v>
      </c>
      <c r="H6" s="21" t="s">
        <v>27</v>
      </c>
      <c r="I6" s="20">
        <v>5.0</v>
      </c>
      <c r="J6" s="19" t="s">
        <v>25</v>
      </c>
      <c r="K6" s="40">
        <v>2.0</v>
      </c>
      <c r="L6" s="2"/>
      <c r="M6" s="20">
        <v>5.0</v>
      </c>
      <c r="N6" s="21" t="s">
        <v>26</v>
      </c>
      <c r="O6" s="20">
        <v>5.0</v>
      </c>
      <c r="P6" s="19"/>
      <c r="Q6" s="40"/>
      <c r="R6" s="2"/>
      <c r="S6" s="20"/>
      <c r="T6" s="21"/>
      <c r="U6" s="20"/>
      <c r="V6" s="19"/>
      <c r="W6" s="40"/>
      <c r="X6" s="2"/>
      <c r="Y6" s="20"/>
      <c r="Z6" s="21"/>
      <c r="AA6" s="20"/>
      <c r="AB6" s="20"/>
      <c r="AC6" s="20"/>
      <c r="AD6" s="20"/>
      <c r="AE6" s="20"/>
      <c r="AF6" s="20"/>
      <c r="AG6" s="20"/>
      <c r="AH6" s="20"/>
      <c r="AI6" s="20"/>
      <c r="AJ6" s="20"/>
      <c r="AK6" s="20"/>
      <c r="AL6" s="20"/>
      <c r="AM6" s="20"/>
      <c r="AN6" s="20"/>
      <c r="AO6" s="20"/>
      <c r="AP6" s="20"/>
      <c r="AQ6" s="20"/>
      <c r="AR6" s="20"/>
      <c r="AS6" s="20"/>
    </row>
    <row r="7">
      <c r="A7" s="39">
        <f t="shared" ref="A7:A25" si="1">A6+1</f>
        <v>2</v>
      </c>
      <c r="B7" s="18" t="str">
        <f>IFERROR(IF('[TrungTam_HungCuong_T8.xlsx]LOP_01'!$B$22="","",'[TrungTam_HungCuong_T8.xlsx]LOP_01'!$B$22),"Đặng Phương Anh")</f>
        <v>Đặng Phương Anh</v>
      </c>
      <c r="C7" s="41"/>
      <c r="D7" s="26" t="s">
        <v>25</v>
      </c>
      <c r="E7" s="41"/>
      <c r="F7" s="2"/>
      <c r="G7" s="20">
        <v>4.0</v>
      </c>
      <c r="H7" s="21" t="s">
        <v>29</v>
      </c>
      <c r="I7" s="20">
        <v>5.0</v>
      </c>
      <c r="J7" s="26" t="s">
        <v>25</v>
      </c>
      <c r="K7" s="41"/>
      <c r="L7" s="2"/>
      <c r="M7" s="20">
        <v>4.0</v>
      </c>
      <c r="N7" s="21" t="s">
        <v>28</v>
      </c>
      <c r="O7" s="20">
        <v>5.0</v>
      </c>
      <c r="P7" s="26"/>
      <c r="Q7" s="41"/>
      <c r="R7" s="2"/>
      <c r="S7" s="20"/>
      <c r="T7" s="21"/>
      <c r="U7" s="20"/>
      <c r="V7" s="26"/>
      <c r="W7" s="41"/>
      <c r="X7" s="2"/>
      <c r="Y7" s="20"/>
      <c r="Z7" s="21"/>
      <c r="AA7" s="20"/>
      <c r="AB7" s="20"/>
      <c r="AC7" s="20"/>
      <c r="AD7" s="20"/>
      <c r="AE7" s="20"/>
      <c r="AF7" s="20"/>
      <c r="AG7" s="20"/>
      <c r="AH7" s="20"/>
      <c r="AI7" s="20"/>
      <c r="AJ7" s="20"/>
      <c r="AK7" s="20"/>
      <c r="AL7" s="20"/>
      <c r="AM7" s="20"/>
      <c r="AN7" s="20"/>
      <c r="AO7" s="20"/>
      <c r="AP7" s="20"/>
      <c r="AQ7" s="20"/>
      <c r="AR7" s="20"/>
      <c r="AS7" s="20"/>
    </row>
    <row r="8">
      <c r="A8" s="39">
        <f t="shared" si="1"/>
        <v>3</v>
      </c>
      <c r="B8" s="18" t="str">
        <f>IFERROR(IF('[TrungTam_HungCuong_T8.xlsx]LOP_01'!$B$23="","",'[TrungTam_HungCuong_T8.xlsx]LOP_01'!$B$23),"Nguyễn Gia Bảo")</f>
        <v>Nguyễn Gia Bảo</v>
      </c>
      <c r="C8" s="11"/>
      <c r="D8" s="19" t="s">
        <v>25</v>
      </c>
      <c r="E8" s="11"/>
      <c r="F8" s="2"/>
      <c r="G8" s="20">
        <v>4.0</v>
      </c>
      <c r="H8" s="21" t="s">
        <v>30</v>
      </c>
      <c r="I8" s="20">
        <v>5.0</v>
      </c>
      <c r="J8" s="19" t="s">
        <v>25</v>
      </c>
      <c r="K8" s="11"/>
      <c r="L8" s="2"/>
      <c r="M8" s="20">
        <v>4.0</v>
      </c>
      <c r="N8" s="21" t="s">
        <v>31</v>
      </c>
      <c r="O8" s="20">
        <v>5.0</v>
      </c>
      <c r="P8" s="19"/>
      <c r="Q8" s="11"/>
      <c r="R8" s="2"/>
      <c r="S8" s="20"/>
      <c r="T8" s="21"/>
      <c r="U8" s="20"/>
      <c r="V8" s="19"/>
      <c r="W8" s="11"/>
      <c r="X8" s="2"/>
      <c r="Y8" s="20"/>
      <c r="Z8" s="21"/>
      <c r="AA8" s="20"/>
      <c r="AB8" s="20"/>
      <c r="AC8" s="20"/>
      <c r="AD8" s="20"/>
      <c r="AE8" s="20"/>
      <c r="AF8" s="20"/>
      <c r="AG8" s="20"/>
      <c r="AH8" s="20"/>
      <c r="AI8" s="20"/>
      <c r="AJ8" s="20"/>
      <c r="AK8" s="20"/>
      <c r="AL8" s="20"/>
      <c r="AM8" s="20"/>
      <c r="AN8" s="20"/>
      <c r="AO8" s="20"/>
      <c r="AP8" s="20"/>
      <c r="AQ8" s="20"/>
      <c r="AR8" s="20"/>
      <c r="AS8" s="20"/>
    </row>
    <row r="9">
      <c r="A9" s="39">
        <f t="shared" si="1"/>
        <v>4</v>
      </c>
      <c r="B9" s="18" t="str">
        <f>IFERROR(IF('[TrungTam_HungCuong_T8.xlsx]LOP_01'!$B$24="","",'[TrungTam_HungCuong_T8.xlsx]LOP_01'!$B$24),"Nguyễn Đặng Gia Bảo")</f>
        <v>Nguyễn Đặng Gia Bảo</v>
      </c>
      <c r="C9" s="41"/>
      <c r="D9" s="26" t="s">
        <v>25</v>
      </c>
      <c r="E9" s="41"/>
      <c r="F9" s="2"/>
      <c r="G9" s="20">
        <v>4.0</v>
      </c>
      <c r="H9" s="21" t="s">
        <v>32</v>
      </c>
      <c r="I9" s="20">
        <v>5.0</v>
      </c>
      <c r="J9" s="26" t="s">
        <v>25</v>
      </c>
      <c r="K9" s="41"/>
      <c r="L9" s="2"/>
      <c r="M9" s="20">
        <v>4.0</v>
      </c>
      <c r="N9" s="21" t="s">
        <v>33</v>
      </c>
      <c r="O9" s="20">
        <v>5.0</v>
      </c>
      <c r="P9" s="26"/>
      <c r="Q9" s="41"/>
      <c r="R9" s="2"/>
      <c r="S9" s="20"/>
      <c r="T9" s="21"/>
      <c r="U9" s="20"/>
      <c r="V9" s="26"/>
      <c r="W9" s="41"/>
      <c r="X9" s="2"/>
      <c r="Y9" s="20"/>
      <c r="Z9" s="21"/>
      <c r="AA9" s="20"/>
      <c r="AB9" s="20"/>
      <c r="AC9" s="20"/>
      <c r="AD9" s="20"/>
      <c r="AE9" s="20"/>
      <c r="AF9" s="20"/>
      <c r="AG9" s="20"/>
      <c r="AH9" s="20"/>
      <c r="AI9" s="20"/>
      <c r="AJ9" s="20"/>
      <c r="AK9" s="20"/>
      <c r="AL9" s="20"/>
      <c r="AM9" s="20"/>
      <c r="AN9" s="20"/>
      <c r="AO9" s="20"/>
      <c r="AP9" s="20"/>
      <c r="AQ9" s="20"/>
      <c r="AR9" s="20"/>
      <c r="AS9" s="20"/>
    </row>
    <row r="10">
      <c r="A10" s="39">
        <f t="shared" si="1"/>
        <v>5</v>
      </c>
      <c r="B10" s="18" t="str">
        <f>IFERROR(IF('[TrungTam_HungCuong_T8.xlsx]LOP_01'!$B$25="","",'[TrungTam_HungCuong_T8.xlsx]LOP_01'!$B$25),"Tuệ Lâm")</f>
        <v>Tuệ Lâm</v>
      </c>
      <c r="C10" s="11"/>
      <c r="D10" s="19" t="s">
        <v>34</v>
      </c>
      <c r="E10" s="40">
        <v>3.0</v>
      </c>
      <c r="F10" s="2"/>
      <c r="G10" s="12"/>
      <c r="H10" s="22"/>
      <c r="I10" s="12"/>
      <c r="J10" s="19" t="s">
        <v>34</v>
      </c>
      <c r="K10" s="40">
        <v>3.0</v>
      </c>
      <c r="L10" s="2"/>
      <c r="M10" s="12"/>
      <c r="N10" s="22"/>
      <c r="O10" s="12"/>
      <c r="P10" s="19"/>
      <c r="Q10" s="40"/>
      <c r="R10" s="2"/>
      <c r="S10" s="12"/>
      <c r="T10" s="22"/>
      <c r="U10" s="12"/>
      <c r="V10" s="19"/>
      <c r="W10" s="40"/>
      <c r="X10" s="2"/>
      <c r="Y10" s="12"/>
      <c r="Z10" s="22"/>
      <c r="AA10" s="12"/>
      <c r="AB10" s="12"/>
      <c r="AC10" s="12"/>
      <c r="AD10" s="12"/>
      <c r="AE10" s="12"/>
      <c r="AF10" s="12"/>
      <c r="AG10" s="12"/>
      <c r="AH10" s="12"/>
      <c r="AI10" s="12"/>
      <c r="AJ10" s="12"/>
      <c r="AK10" s="12"/>
      <c r="AL10" s="12"/>
      <c r="AM10" s="12"/>
      <c r="AN10" s="12"/>
      <c r="AO10" s="12"/>
      <c r="AP10" s="12"/>
      <c r="AQ10" s="12"/>
      <c r="AR10" s="12"/>
      <c r="AS10" s="12"/>
    </row>
    <row r="11">
      <c r="A11" s="39">
        <f t="shared" si="1"/>
        <v>6</v>
      </c>
      <c r="B11" s="18" t="str">
        <f>IFERROR(IF('[TrungTam_HungCuong_T8.xlsx]LOP_01'!$B$26="","",'[TrungTam_HungCuong_T8.xlsx]LOP_01'!$B$26),"Đặng Khánh Linh")</f>
        <v>Đặng Khánh Linh</v>
      </c>
      <c r="C11" s="41"/>
      <c r="D11" s="26" t="s">
        <v>25</v>
      </c>
      <c r="E11" s="41"/>
      <c r="F11" s="2"/>
      <c r="G11" s="20">
        <v>4.0</v>
      </c>
      <c r="H11" s="21" t="s">
        <v>35</v>
      </c>
      <c r="I11" s="20">
        <v>5.0</v>
      </c>
      <c r="J11" s="26" t="s">
        <v>25</v>
      </c>
      <c r="K11" s="41"/>
      <c r="L11" s="2"/>
      <c r="M11" s="20">
        <v>4.0</v>
      </c>
      <c r="N11" s="21" t="s">
        <v>35</v>
      </c>
      <c r="O11" s="20">
        <v>5.0</v>
      </c>
      <c r="P11" s="26"/>
      <c r="Q11" s="41"/>
      <c r="R11" s="2"/>
      <c r="S11" s="20"/>
      <c r="T11" s="21"/>
      <c r="U11" s="20"/>
      <c r="V11" s="26"/>
      <c r="W11" s="41"/>
      <c r="X11" s="2"/>
      <c r="Y11" s="20"/>
      <c r="Z11" s="21"/>
      <c r="AA11" s="20"/>
      <c r="AB11" s="20"/>
      <c r="AC11" s="20"/>
      <c r="AD11" s="20"/>
      <c r="AE11" s="20"/>
      <c r="AF11" s="20"/>
      <c r="AG11" s="20"/>
      <c r="AH11" s="20"/>
      <c r="AI11" s="20"/>
      <c r="AJ11" s="20"/>
      <c r="AK11" s="20"/>
      <c r="AL11" s="20"/>
      <c r="AM11" s="20"/>
      <c r="AN11" s="20"/>
      <c r="AO11" s="20"/>
      <c r="AP11" s="20"/>
      <c r="AQ11" s="20"/>
      <c r="AR11" s="20"/>
      <c r="AS11" s="20"/>
    </row>
    <row r="12">
      <c r="A12" s="39">
        <f t="shared" si="1"/>
        <v>7</v>
      </c>
      <c r="B12" s="18" t="str">
        <f>IFERROR(IF('[TrungTam_HungCuong_T8.xlsx]LOP_01'!$B$27="","",'[TrungTam_HungCuong_T8.xlsx]LOP_01'!$B$27),"Nguyễn Ngọc Diệp")</f>
        <v>Nguyễn Ngọc Diệp</v>
      </c>
      <c r="C12" s="11"/>
      <c r="D12" s="19" t="s">
        <v>25</v>
      </c>
      <c r="E12" s="11"/>
      <c r="F12" s="2"/>
      <c r="G12" s="20">
        <v>5.0</v>
      </c>
      <c r="H12" s="21" t="s">
        <v>36</v>
      </c>
      <c r="I12" s="20">
        <v>5.0</v>
      </c>
      <c r="J12" s="19" t="s">
        <v>25</v>
      </c>
      <c r="K12" s="11"/>
      <c r="L12" s="2"/>
      <c r="M12" s="20">
        <v>5.0</v>
      </c>
      <c r="N12" s="21" t="s">
        <v>39</v>
      </c>
      <c r="O12" s="20">
        <v>5.0</v>
      </c>
      <c r="P12" s="19"/>
      <c r="Q12" s="11"/>
      <c r="R12" s="2"/>
      <c r="S12" s="20"/>
      <c r="T12" s="21"/>
      <c r="U12" s="20"/>
      <c r="V12" s="19"/>
      <c r="W12" s="11"/>
      <c r="X12" s="2"/>
      <c r="Y12" s="20"/>
      <c r="Z12" s="21"/>
      <c r="AA12" s="20"/>
      <c r="AB12" s="20"/>
      <c r="AC12" s="20"/>
      <c r="AD12" s="20"/>
      <c r="AE12" s="20"/>
      <c r="AF12" s="20"/>
      <c r="AG12" s="20"/>
      <c r="AH12" s="20"/>
      <c r="AI12" s="20"/>
      <c r="AJ12" s="20"/>
      <c r="AK12" s="20"/>
      <c r="AL12" s="20"/>
      <c r="AM12" s="20"/>
      <c r="AN12" s="20"/>
      <c r="AO12" s="20"/>
      <c r="AP12" s="20"/>
      <c r="AQ12" s="20"/>
      <c r="AR12" s="20"/>
      <c r="AS12" s="20"/>
    </row>
    <row r="13">
      <c r="A13" s="39">
        <f t="shared" si="1"/>
        <v>8</v>
      </c>
      <c r="B13" s="18" t="str">
        <f>IFERROR(IF('[TrungTam_HungCuong_T8.xlsx]LOP_01'!$B$28="","",'[TrungTam_HungCuong_T8.xlsx]LOP_01'!$B$28),"Nguyễn Ngọc Cẩm Tú")</f>
        <v>Nguyễn Ngọc Cẩm Tú</v>
      </c>
      <c r="C13" s="41"/>
      <c r="D13" s="26" t="s">
        <v>25</v>
      </c>
      <c r="E13" s="64">
        <v>1.0</v>
      </c>
      <c r="F13" s="2"/>
      <c r="G13" s="20">
        <v>4.0</v>
      </c>
      <c r="H13" s="21" t="s">
        <v>26</v>
      </c>
      <c r="I13" s="20">
        <v>5.0</v>
      </c>
      <c r="J13" s="26" t="s">
        <v>25</v>
      </c>
      <c r="K13" s="64">
        <v>1.0</v>
      </c>
      <c r="L13" s="2"/>
      <c r="M13" s="20">
        <v>4.0</v>
      </c>
      <c r="N13" s="21" t="s">
        <v>41</v>
      </c>
      <c r="O13" s="20">
        <v>5.0</v>
      </c>
      <c r="P13" s="26"/>
      <c r="Q13" s="64"/>
      <c r="R13" s="2"/>
      <c r="S13" s="20"/>
      <c r="T13" s="21"/>
      <c r="U13" s="20"/>
      <c r="V13" s="26"/>
      <c r="W13" s="64"/>
      <c r="X13" s="2"/>
      <c r="Y13" s="20"/>
      <c r="Z13" s="21"/>
      <c r="AA13" s="20"/>
      <c r="AB13" s="20"/>
      <c r="AC13" s="20"/>
      <c r="AD13" s="20"/>
      <c r="AE13" s="20"/>
      <c r="AF13" s="20"/>
      <c r="AG13" s="20"/>
      <c r="AH13" s="20"/>
      <c r="AI13" s="20"/>
      <c r="AJ13" s="20"/>
      <c r="AK13" s="20"/>
      <c r="AL13" s="20"/>
      <c r="AM13" s="20"/>
      <c r="AN13" s="20"/>
      <c r="AO13" s="20"/>
      <c r="AP13" s="20"/>
      <c r="AQ13" s="20"/>
      <c r="AR13" s="20"/>
      <c r="AS13" s="20"/>
    </row>
    <row r="14">
      <c r="A14" s="39">
        <f t="shared" si="1"/>
        <v>9</v>
      </c>
      <c r="B14" s="18" t="str">
        <f>IFERROR(IF('[TrungTam_HungCuong_T8.xlsx]LOP_01'!$B$29="","",'[TrungTam_HungCuong_T8.xlsx]LOP_01'!$B$29),"Đào Thế Hoàng")</f>
        <v>Đào Thế Hoàng</v>
      </c>
      <c r="C14" s="11"/>
      <c r="D14" s="19" t="s">
        <v>34</v>
      </c>
      <c r="E14" s="40">
        <v>3.0</v>
      </c>
      <c r="F14" s="2"/>
      <c r="G14" s="12"/>
      <c r="H14" s="22"/>
      <c r="I14" s="20"/>
      <c r="J14" s="19" t="s">
        <v>25</v>
      </c>
      <c r="K14" s="40">
        <v>3.0</v>
      </c>
      <c r="L14" s="2"/>
      <c r="M14" s="20">
        <v>4.0</v>
      </c>
      <c r="N14" s="21" t="s">
        <v>44</v>
      </c>
      <c r="O14" s="20">
        <v>5.0</v>
      </c>
      <c r="P14" s="19"/>
      <c r="Q14" s="40"/>
      <c r="R14" s="2"/>
      <c r="S14" s="20"/>
      <c r="T14" s="21"/>
      <c r="U14" s="20"/>
      <c r="V14" s="19"/>
      <c r="W14" s="40"/>
      <c r="X14" s="2"/>
      <c r="Y14" s="20"/>
      <c r="Z14" s="21"/>
      <c r="AA14" s="20"/>
      <c r="AB14" s="20"/>
      <c r="AC14" s="20"/>
      <c r="AD14" s="20"/>
      <c r="AE14" s="20"/>
      <c r="AF14" s="20"/>
      <c r="AG14" s="20"/>
      <c r="AH14" s="20"/>
      <c r="AI14" s="20"/>
      <c r="AJ14" s="20"/>
      <c r="AK14" s="20"/>
      <c r="AL14" s="20"/>
      <c r="AM14" s="20"/>
      <c r="AN14" s="20"/>
      <c r="AO14" s="20"/>
      <c r="AP14" s="20"/>
      <c r="AQ14" s="20"/>
      <c r="AR14" s="20"/>
      <c r="AS14" s="20"/>
    </row>
    <row r="15">
      <c r="A15" s="39">
        <f t="shared" si="1"/>
        <v>10</v>
      </c>
      <c r="B15" s="18" t="str">
        <f>IFERROR(IF('[TrungTam_HungCuong_T8.xlsx]LOP_01'!$B$30="","",'[TrungTam_HungCuong_T8.xlsx]LOP_01'!$B$30),"Đào Nguyễn Bình An")</f>
        <v>Đào Nguyễn Bình An</v>
      </c>
      <c r="D15" s="26" t="s">
        <v>25</v>
      </c>
      <c r="G15" s="20">
        <v>5.0</v>
      </c>
      <c r="H15" s="21" t="s">
        <v>45</v>
      </c>
      <c r="I15" s="20">
        <v>5.0</v>
      </c>
      <c r="J15" s="26" t="s">
        <v>25</v>
      </c>
      <c r="M15" s="20">
        <v>5.0</v>
      </c>
      <c r="N15" s="21" t="s">
        <v>46</v>
      </c>
      <c r="O15" s="20">
        <v>5.0</v>
      </c>
      <c r="P15" s="26"/>
      <c r="S15" s="20"/>
      <c r="T15" s="21"/>
      <c r="U15" s="20"/>
      <c r="V15" s="26"/>
      <c r="Y15" s="20"/>
      <c r="Z15" s="21"/>
      <c r="AA15" s="20"/>
      <c r="AB15" s="20"/>
      <c r="AC15" s="20"/>
      <c r="AD15" s="20"/>
      <c r="AE15" s="20"/>
      <c r="AF15" s="20"/>
      <c r="AG15" s="20"/>
      <c r="AH15" s="20"/>
      <c r="AI15" s="20"/>
      <c r="AJ15" s="20"/>
      <c r="AK15" s="20"/>
      <c r="AL15" s="20"/>
      <c r="AM15" s="20"/>
      <c r="AN15" s="20"/>
      <c r="AO15" s="20"/>
      <c r="AP15" s="20"/>
      <c r="AQ15" s="20"/>
      <c r="AR15" s="20"/>
      <c r="AS15" s="20"/>
    </row>
    <row r="16">
      <c r="A16" s="39">
        <f t="shared" si="1"/>
        <v>11</v>
      </c>
      <c r="B16" s="18" t="str">
        <f>IFERROR(IF('[TrungTam_HungCuong_T8.xlsx]LOP_01'!$B$31="","",'[TrungTam_HungCuong_T8.xlsx]LOP_01'!$B$31),"Nguyễn Trà My")</f>
        <v>Nguyễn Trà My</v>
      </c>
      <c r="D16" s="19" t="s">
        <v>25</v>
      </c>
      <c r="G16" s="20">
        <v>4.0</v>
      </c>
      <c r="H16" s="21" t="s">
        <v>47</v>
      </c>
      <c r="I16" s="20">
        <v>5.0</v>
      </c>
      <c r="J16" s="19" t="s">
        <v>25</v>
      </c>
      <c r="M16" s="20">
        <v>4.0</v>
      </c>
      <c r="N16" s="21" t="s">
        <v>47</v>
      </c>
      <c r="O16" s="20">
        <v>5.0</v>
      </c>
      <c r="P16" s="19"/>
      <c r="S16" s="20"/>
      <c r="T16" s="21"/>
      <c r="U16" s="20"/>
      <c r="V16" s="19"/>
      <c r="Y16" s="20"/>
      <c r="Z16" s="21"/>
      <c r="AA16" s="20"/>
      <c r="AB16" s="20"/>
      <c r="AC16" s="20"/>
      <c r="AD16" s="20"/>
      <c r="AE16" s="20"/>
      <c r="AF16" s="20"/>
      <c r="AG16" s="20"/>
      <c r="AH16" s="20"/>
      <c r="AI16" s="20"/>
      <c r="AJ16" s="20"/>
      <c r="AK16" s="20"/>
      <c r="AL16" s="20"/>
      <c r="AM16" s="20"/>
      <c r="AN16" s="20"/>
      <c r="AO16" s="20"/>
      <c r="AP16" s="20"/>
      <c r="AQ16" s="20"/>
      <c r="AR16" s="20"/>
      <c r="AS16" s="20"/>
    </row>
    <row r="17">
      <c r="A17" s="39">
        <f t="shared" si="1"/>
        <v>12</v>
      </c>
      <c r="B17" s="18" t="str">
        <f>IFERROR(IF('[TrungTam_HungCuong_T8.xlsx]LOP_01'!$B$32="","",'[TrungTam_HungCuong_T8.xlsx]LOP_01'!$B$32),"Bảo Dũng")</f>
        <v>Bảo Dũng</v>
      </c>
      <c r="D17" s="26" t="s">
        <v>25</v>
      </c>
      <c r="G17" s="20">
        <v>4.0</v>
      </c>
      <c r="H17" s="21" t="s">
        <v>48</v>
      </c>
      <c r="I17" s="20">
        <v>5.0</v>
      </c>
      <c r="J17" s="26" t="s">
        <v>25</v>
      </c>
      <c r="M17" s="20">
        <v>4.0</v>
      </c>
      <c r="N17" s="21" t="s">
        <v>48</v>
      </c>
      <c r="O17" s="20">
        <v>5.0</v>
      </c>
      <c r="P17" s="26"/>
      <c r="S17" s="20"/>
      <c r="T17" s="21"/>
      <c r="U17" s="20"/>
      <c r="V17" s="26"/>
      <c r="Y17" s="20"/>
      <c r="Z17" s="21"/>
      <c r="AA17" s="20"/>
      <c r="AB17" s="20"/>
      <c r="AC17" s="20"/>
      <c r="AD17" s="20"/>
      <c r="AE17" s="20"/>
      <c r="AF17" s="20"/>
      <c r="AG17" s="20"/>
      <c r="AH17" s="20"/>
      <c r="AI17" s="20"/>
      <c r="AJ17" s="20"/>
      <c r="AK17" s="20"/>
      <c r="AL17" s="20"/>
      <c r="AM17" s="20"/>
      <c r="AN17" s="20"/>
      <c r="AO17" s="20"/>
      <c r="AP17" s="20"/>
      <c r="AQ17" s="20"/>
      <c r="AR17" s="20"/>
      <c r="AS17" s="20"/>
    </row>
    <row r="18">
      <c r="A18" s="39">
        <f t="shared" si="1"/>
        <v>13</v>
      </c>
      <c r="B18" s="18" t="str">
        <f>IFERROR(IF('[TrungTam_HungCuong_T8.xlsx]LOP_01'!$B$33="","",'[TrungTam_HungCuong_T8.xlsx]LOP_01'!$B$33),"Đào Quang Minh")</f>
        <v>Đào Quang Minh</v>
      </c>
      <c r="C18" s="65"/>
      <c r="D18" s="26" t="s">
        <v>34</v>
      </c>
      <c r="E18" s="65"/>
      <c r="G18" s="12"/>
      <c r="H18" s="22"/>
      <c r="I18" s="12"/>
      <c r="J18" s="26" t="s">
        <v>25</v>
      </c>
      <c r="M18" s="20">
        <v>4.0</v>
      </c>
      <c r="N18" s="21" t="s">
        <v>49</v>
      </c>
      <c r="O18" s="20">
        <v>5.0</v>
      </c>
      <c r="P18" s="26"/>
      <c r="S18" s="20"/>
      <c r="T18" s="21"/>
      <c r="U18" s="20"/>
      <c r="V18" s="26"/>
      <c r="Y18" s="20"/>
      <c r="Z18" s="21"/>
      <c r="AA18" s="20"/>
      <c r="AB18" s="20"/>
      <c r="AC18" s="20"/>
      <c r="AD18" s="20"/>
      <c r="AE18" s="20"/>
      <c r="AF18" s="20"/>
      <c r="AG18" s="20"/>
      <c r="AH18" s="20"/>
      <c r="AI18" s="20"/>
      <c r="AJ18" s="20"/>
      <c r="AK18" s="20"/>
      <c r="AL18" s="20"/>
      <c r="AM18" s="20"/>
      <c r="AN18" s="20"/>
      <c r="AO18" s="20"/>
      <c r="AP18" s="20"/>
      <c r="AQ18" s="20"/>
      <c r="AR18" s="20"/>
      <c r="AS18" s="20"/>
    </row>
    <row r="19">
      <c r="A19" s="39">
        <f t="shared" si="1"/>
        <v>14</v>
      </c>
      <c r="B19" s="18" t="str">
        <f>IFERROR(IF('[TrungTam_HungCuong_T8.xlsx]LOP_01'!$B$34="","",'[TrungTam_HungCuong_T8.xlsx]LOP_01'!$B$34),"Duy")</f>
        <v>Duy</v>
      </c>
      <c r="C19" s="65"/>
      <c r="D19" s="26" t="s">
        <v>25</v>
      </c>
      <c r="E19" s="65"/>
      <c r="G19" s="20">
        <v>4.0</v>
      </c>
      <c r="H19" s="21" t="s">
        <v>50</v>
      </c>
      <c r="I19" s="20">
        <v>5.0</v>
      </c>
      <c r="J19" s="26" t="s">
        <v>25</v>
      </c>
      <c r="M19" s="20">
        <v>4.0</v>
      </c>
      <c r="N19" s="21" t="s">
        <v>50</v>
      </c>
      <c r="O19" s="20">
        <v>5.0</v>
      </c>
      <c r="P19" s="26"/>
      <c r="S19" s="20"/>
      <c r="T19" s="21"/>
      <c r="U19" s="20"/>
      <c r="V19" s="26"/>
      <c r="Y19" s="20"/>
      <c r="Z19" s="21"/>
      <c r="AA19" s="20"/>
      <c r="AB19" s="20"/>
      <c r="AC19" s="20"/>
      <c r="AD19" s="20"/>
      <c r="AE19" s="20"/>
      <c r="AF19" s="20"/>
      <c r="AG19" s="20"/>
      <c r="AH19" s="20"/>
      <c r="AI19" s="20"/>
      <c r="AJ19" s="20"/>
      <c r="AK19" s="20"/>
      <c r="AL19" s="20"/>
      <c r="AM19" s="20"/>
      <c r="AN19" s="20"/>
      <c r="AO19" s="20"/>
      <c r="AP19" s="20"/>
      <c r="AQ19" s="20"/>
      <c r="AR19" s="20"/>
      <c r="AS19" s="20"/>
    </row>
    <row r="20">
      <c r="A20" s="39">
        <f t="shared" si="1"/>
        <v>15</v>
      </c>
      <c r="B20" s="18" t="str">
        <f>IFERROR(IF('[TrungTam_HungCuong_T8.xlsx]LOP_01'!$B$35="","",'[TrungTam_HungCuong_T8.xlsx]LOP_01'!$B$35),"Phúc")</f>
        <v>Phúc</v>
      </c>
      <c r="C20" s="65"/>
      <c r="D20" s="26" t="s">
        <v>25</v>
      </c>
      <c r="E20" s="65"/>
      <c r="G20" s="20">
        <v>4.0</v>
      </c>
      <c r="H20" s="21" t="s">
        <v>51</v>
      </c>
      <c r="I20" s="20">
        <v>5.0</v>
      </c>
      <c r="J20" s="26" t="s">
        <v>25</v>
      </c>
      <c r="M20" s="20">
        <v>4.0</v>
      </c>
      <c r="N20" s="21" t="s">
        <v>51</v>
      </c>
      <c r="O20" s="21">
        <v>5.0</v>
      </c>
      <c r="P20" s="26"/>
      <c r="S20" s="20"/>
      <c r="T20" s="21"/>
      <c r="U20" s="21"/>
      <c r="V20" s="26"/>
      <c r="Y20" s="20"/>
      <c r="Z20" s="21"/>
      <c r="AA20" s="21"/>
      <c r="AB20" s="21"/>
      <c r="AC20" s="21"/>
      <c r="AD20" s="21"/>
      <c r="AE20" s="21"/>
      <c r="AF20" s="21"/>
      <c r="AG20" s="21"/>
      <c r="AH20" s="21"/>
      <c r="AI20" s="21"/>
      <c r="AJ20" s="21"/>
      <c r="AK20" s="21"/>
      <c r="AL20" s="21"/>
      <c r="AM20" s="21"/>
      <c r="AN20" s="21"/>
      <c r="AO20" s="21"/>
      <c r="AP20" s="21"/>
      <c r="AQ20" s="21"/>
      <c r="AR20" s="21"/>
      <c r="AS20" s="21"/>
    </row>
    <row r="21">
      <c r="A21" s="39">
        <f t="shared" si="1"/>
        <v>16</v>
      </c>
      <c r="B21" s="18" t="str">
        <f>IFERROR(IF('[TrungTam_HungCuong_T8.xlsx]LOP_01'!$B$36="","",'[TrungTam_HungCuong_T8.xlsx]LOP_01'!$B$36),"Linh")</f>
        <v>Linh</v>
      </c>
      <c r="C21" s="65"/>
      <c r="D21" s="26" t="s">
        <v>34</v>
      </c>
      <c r="E21" s="65"/>
      <c r="G21" s="12"/>
      <c r="H21" s="22"/>
      <c r="I21" s="12"/>
      <c r="J21" s="26" t="s">
        <v>25</v>
      </c>
      <c r="M21" s="20">
        <v>4.0</v>
      </c>
      <c r="N21" s="21" t="s">
        <v>52</v>
      </c>
      <c r="O21" s="20">
        <v>5.0</v>
      </c>
      <c r="P21" s="26"/>
      <c r="S21" s="20"/>
      <c r="T21" s="21"/>
      <c r="U21" s="20"/>
      <c r="V21" s="26"/>
      <c r="Y21" s="20"/>
      <c r="Z21" s="21"/>
      <c r="AA21" s="20"/>
      <c r="AB21" s="20"/>
      <c r="AC21" s="20"/>
      <c r="AD21" s="20"/>
      <c r="AE21" s="20"/>
      <c r="AF21" s="20"/>
      <c r="AG21" s="20"/>
      <c r="AH21" s="20"/>
      <c r="AI21" s="20"/>
      <c r="AJ21" s="20"/>
      <c r="AK21" s="20"/>
      <c r="AL21" s="20"/>
      <c r="AM21" s="20"/>
      <c r="AN21" s="20"/>
      <c r="AO21" s="20"/>
      <c r="AP21" s="20"/>
      <c r="AQ21" s="20"/>
      <c r="AR21" s="20"/>
      <c r="AS21" s="20"/>
    </row>
    <row r="22">
      <c r="A22" s="39">
        <f t="shared" si="1"/>
        <v>17</v>
      </c>
      <c r="B22" s="18" t="str">
        <f>IFERROR(IF('[TrungTam_HungCuong_T8.xlsx]LOP_01'!$B$37="","",'[TrungTam_HungCuong_T8.xlsx]LOP_01'!$B$37),"Hân")</f>
        <v>Hân</v>
      </c>
      <c r="C22" s="65"/>
      <c r="D22" s="26" t="s">
        <v>25</v>
      </c>
      <c r="E22" s="65"/>
      <c r="G22" s="20">
        <v>4.0</v>
      </c>
      <c r="H22" s="21" t="s">
        <v>53</v>
      </c>
      <c r="I22" s="20">
        <v>5.0</v>
      </c>
      <c r="J22" s="26" t="s">
        <v>25</v>
      </c>
      <c r="M22" s="20">
        <v>4.0</v>
      </c>
      <c r="N22" s="21" t="s">
        <v>53</v>
      </c>
      <c r="O22" s="20">
        <v>5.0</v>
      </c>
      <c r="P22" s="26"/>
      <c r="S22" s="20"/>
      <c r="T22" s="21"/>
      <c r="U22" s="20"/>
      <c r="V22" s="26"/>
      <c r="Y22" s="20"/>
      <c r="Z22" s="21"/>
      <c r="AA22" s="20"/>
      <c r="AB22" s="20"/>
      <c r="AC22" s="20"/>
      <c r="AD22" s="20"/>
      <c r="AE22" s="20"/>
      <c r="AF22" s="20"/>
      <c r="AG22" s="20"/>
      <c r="AH22" s="20"/>
      <c r="AI22" s="20"/>
      <c r="AJ22" s="20"/>
      <c r="AK22" s="20"/>
      <c r="AL22" s="20"/>
      <c r="AM22" s="20"/>
      <c r="AN22" s="20"/>
      <c r="AO22" s="20"/>
      <c r="AP22" s="20"/>
      <c r="AQ22" s="20"/>
      <c r="AR22" s="20"/>
      <c r="AS22" s="20"/>
    </row>
    <row r="23">
      <c r="A23" s="39">
        <f t="shared" si="1"/>
        <v>18</v>
      </c>
      <c r="B23" s="18" t="str">
        <f>IFERROR(IF('[TrungTam_HungCuong_T8.xlsx]LOP_01'!$B$38="","",'[TrungTam_HungCuong_T8.xlsx]LOP_01'!$B$38),"Kiều Anh")</f>
        <v>Kiều Anh</v>
      </c>
      <c r="C23" s="65"/>
      <c r="D23" s="26" t="s">
        <v>25</v>
      </c>
      <c r="E23" s="65"/>
      <c r="G23" s="20">
        <v>4.0</v>
      </c>
      <c r="H23" s="21" t="s">
        <v>57</v>
      </c>
      <c r="I23" s="20">
        <v>5.0</v>
      </c>
      <c r="J23" s="26" t="s">
        <v>25</v>
      </c>
      <c r="M23" s="20">
        <v>4.0</v>
      </c>
      <c r="N23" s="21" t="s">
        <v>54</v>
      </c>
      <c r="O23" s="20">
        <v>5.0</v>
      </c>
      <c r="P23" s="26"/>
      <c r="S23" s="20"/>
      <c r="T23" s="21"/>
      <c r="U23" s="20"/>
      <c r="V23" s="26"/>
      <c r="Y23" s="20"/>
      <c r="Z23" s="21"/>
      <c r="AA23" s="20"/>
      <c r="AB23" s="20"/>
      <c r="AC23" s="20"/>
      <c r="AD23" s="20"/>
      <c r="AE23" s="20"/>
      <c r="AF23" s="20"/>
      <c r="AG23" s="20"/>
      <c r="AH23" s="20"/>
      <c r="AI23" s="20"/>
      <c r="AJ23" s="20"/>
      <c r="AK23" s="20"/>
      <c r="AL23" s="20"/>
      <c r="AM23" s="20"/>
      <c r="AN23" s="20"/>
      <c r="AO23" s="20"/>
      <c r="AP23" s="20"/>
      <c r="AQ23" s="20"/>
      <c r="AR23" s="20"/>
      <c r="AS23" s="20"/>
    </row>
    <row r="24">
      <c r="A24" s="66">
        <f t="shared" si="1"/>
        <v>19</v>
      </c>
      <c r="B24" s="67" t="s">
        <v>61</v>
      </c>
      <c r="C24" s="68"/>
      <c r="D24" s="68"/>
      <c r="E24" s="68"/>
      <c r="F24" s="68"/>
      <c r="G24" s="68"/>
      <c r="H24" s="68"/>
      <c r="I24" s="69"/>
      <c r="J24" s="70" t="s">
        <v>25</v>
      </c>
      <c r="K24" s="68"/>
      <c r="L24" s="68"/>
      <c r="M24" s="20">
        <v>4.0</v>
      </c>
      <c r="N24" s="21" t="s">
        <v>56</v>
      </c>
      <c r="O24" s="20">
        <v>5.0</v>
      </c>
      <c r="P24" s="70"/>
      <c r="Q24" s="68"/>
      <c r="R24" s="68"/>
      <c r="S24" s="20"/>
      <c r="T24" s="21"/>
      <c r="U24" s="20"/>
      <c r="V24" s="70"/>
      <c r="W24" s="68"/>
      <c r="X24" s="68"/>
      <c r="Y24" s="20"/>
      <c r="Z24" s="21"/>
      <c r="AA24" s="20"/>
      <c r="AB24" s="20"/>
      <c r="AC24" s="20"/>
      <c r="AD24" s="20"/>
      <c r="AE24" s="20"/>
      <c r="AF24" s="20"/>
      <c r="AG24" s="20"/>
      <c r="AH24" s="20"/>
      <c r="AI24" s="20"/>
      <c r="AJ24" s="20"/>
      <c r="AK24" s="20"/>
      <c r="AL24" s="20"/>
      <c r="AM24" s="20"/>
      <c r="AN24" s="20"/>
      <c r="AO24" s="20"/>
      <c r="AP24" s="20"/>
      <c r="AQ24" s="20"/>
      <c r="AR24" s="20"/>
      <c r="AS24" s="20"/>
    </row>
    <row r="25">
      <c r="A25" s="39">
        <f t="shared" si="1"/>
        <v>20</v>
      </c>
      <c r="B25" s="71"/>
      <c r="C25" s="71"/>
      <c r="D25" s="71"/>
      <c r="E25" s="71"/>
      <c r="F25" s="71"/>
      <c r="G25" s="71"/>
      <c r="H25" s="71"/>
      <c r="I25" s="72"/>
      <c r="J25" s="71"/>
      <c r="K25" s="71"/>
      <c r="L25" s="71"/>
      <c r="M25" s="71"/>
      <c r="N25" s="71"/>
      <c r="O25" s="72"/>
    </row>
    <row r="28">
      <c r="A28" s="73" t="s">
        <v>58</v>
      </c>
      <c r="B28" s="74"/>
      <c r="C28" s="75"/>
      <c r="D28" s="76"/>
      <c r="E28" s="77"/>
      <c r="F28" s="47"/>
      <c r="G28" s="47"/>
      <c r="H28" s="47"/>
      <c r="I28" s="78"/>
      <c r="J28" s="76"/>
      <c r="K28" s="77"/>
      <c r="L28" s="47"/>
      <c r="M28" s="47"/>
      <c r="N28" s="47"/>
      <c r="O28" s="78"/>
    </row>
    <row r="29">
      <c r="A29" s="49"/>
      <c r="B29" s="50"/>
      <c r="C29" s="79"/>
      <c r="D29" s="51"/>
      <c r="I29" s="36"/>
      <c r="J29" s="51"/>
      <c r="O29" s="36"/>
    </row>
    <row r="30">
      <c r="A30" s="53"/>
      <c r="B30" s="54"/>
      <c r="C30" s="79"/>
      <c r="D30" s="55"/>
      <c r="E30" s="56"/>
      <c r="F30" s="56"/>
      <c r="G30" s="56"/>
      <c r="H30" s="56"/>
      <c r="I30" s="80"/>
      <c r="J30" s="55"/>
      <c r="K30" s="56"/>
      <c r="L30" s="56"/>
      <c r="M30" s="56"/>
      <c r="N30" s="56"/>
      <c r="O30" s="80"/>
    </row>
    <row r="31">
      <c r="A31" s="81"/>
      <c r="B31" s="81"/>
      <c r="C31" s="81"/>
      <c r="D31" s="81"/>
      <c r="E31" s="81"/>
      <c r="F31" s="81"/>
      <c r="G31" s="81"/>
      <c r="H31" s="81"/>
      <c r="I31" s="82"/>
      <c r="J31" s="81"/>
      <c r="K31" s="81"/>
      <c r="L31" s="81"/>
      <c r="M31" s="81"/>
      <c r="N31" s="81"/>
      <c r="O31" s="82"/>
    </row>
    <row r="32">
      <c r="A32" s="81"/>
      <c r="B32" s="81"/>
      <c r="C32" s="81"/>
      <c r="D32" s="83" t="s">
        <v>60</v>
      </c>
      <c r="I32" s="36"/>
      <c r="J32" s="83" t="s">
        <v>60</v>
      </c>
      <c r="O32" s="36"/>
    </row>
  </sheetData>
  <mergeCells count="12">
    <mergeCell ref="D32:I32"/>
    <mergeCell ref="J32:O32"/>
    <mergeCell ref="J4:O4"/>
    <mergeCell ref="P4:U4"/>
    <mergeCell ref="V4:AA4"/>
    <mergeCell ref="A4:A5"/>
    <mergeCell ref="B4:B5"/>
    <mergeCell ref="D4:I4"/>
    <mergeCell ref="C4:C5"/>
    <mergeCell ref="D28:I30"/>
    <mergeCell ref="J28:O30"/>
    <mergeCell ref="A28:B30"/>
  </mergeCells>
  <conditionalFormatting sqref="G6:G23 I6:I23 O6:O19 U6:U19 AA6:AS19 O21:O24 U21:U24 AA21:AS24">
    <cfRule type="colorScale" priority="1">
      <colorScale>
        <cfvo type="min"/>
        <cfvo type="percentile" val="50"/>
        <cfvo type="max"/>
        <color rgb="FFFCE8E6"/>
        <color rgb="FFFFF4CC"/>
        <color rgb="FFE6F4EA"/>
      </colorScale>
    </cfRule>
  </conditionalFormatting>
  <dataValidations>
    <dataValidation type="list" allowBlank="1" sqref="D6:D23 J6:J24 P6:P24 V6:V24">
      <formula1>"Có mặt,Vắng,Có phép,Đi muộn"</formula1>
    </dataValidation>
    <dataValidation type="list" allowBlank="1" sqref="G6 O6:O19 U6:U19 AA6:AS19 G12:G23 I6:I23 M6:M24 O21:O24 S6:S24 U21:U24 Y6:Y24 AA21:AS24">
      <formula1>"1,2,3,4,5"</formula1>
    </dataValidation>
    <dataValidation type="list" allowBlank="1" sqref="G7:G11">
      <formula1>"1,2,3,4,5"</formula1>
    </dataValidation>
  </dataValidations>
  <drawing r:id="rId1"/>
  <tableParts count="11">
    <tablePart r:id="rId13"/>
    <tablePart r:id="rId14"/>
    <tablePart r:id="rId15"/>
    <tablePart r:id="rId16"/>
    <tablePart r:id="rId17"/>
    <tablePart r:id="rId18"/>
    <tablePart r:id="rId19"/>
    <tablePart r:id="rId20"/>
    <tablePart r:id="rId21"/>
    <tablePart r:id="rId22"/>
    <tablePart r:id="rId23"/>
  </tableParts>
</worksheet>
</file>